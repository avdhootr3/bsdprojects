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cmscomputersindia-my.sharepoint.com/personal/avdhoot_rao_cms_co_in/Documents/D Drive/streamlit_dashboard/data/"/>
    </mc:Choice>
  </mc:AlternateContent>
  <xr:revisionPtr revIDLastSave="0" documentId="8_{FEE2562F-F883-4C6B-A8EB-675FD3675147}" xr6:coauthVersionLast="47" xr6:coauthVersionMax="47" xr10:uidLastSave="{00000000-0000-0000-0000-000000000000}"/>
  <bookViews>
    <workbookView xWindow="-120" yWindow="-120" windowWidth="20730" windowHeight="11040" xr2:uid="{0162CAE7-57BB-417D-85DD-F4740AB24999}"/>
  </bookViews>
  <sheets>
    <sheet name="Data_summar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<sst xmlns="http://schemas.openxmlformats.org/spreadsheetml/2006/main" count="655" uniqueCount="433">
  <si>
    <t>SN</t>
  </si>
  <si>
    <t>Project</t>
  </si>
  <si>
    <t>search_db</t>
  </si>
  <si>
    <t>Project1</t>
  </si>
  <si>
    <t>Region</t>
  </si>
  <si>
    <t>Type</t>
  </si>
  <si>
    <t>Total PO Amt</t>
  </si>
  <si>
    <t>Billed Till Date</t>
  </si>
  <si>
    <t>Accrual</t>
  </si>
  <si>
    <t>Total Revenue</t>
  </si>
  <si>
    <t>Open AR</t>
  </si>
  <si>
    <t>Open Billing</t>
  </si>
  <si>
    <t>Billed YTD_FY25-26</t>
  </si>
  <si>
    <t>Current Month Billing</t>
  </si>
  <si>
    <t>Project Duration</t>
  </si>
  <si>
    <t>Billed</t>
  </si>
  <si>
    <t>Billing Milestone</t>
  </si>
  <si>
    <t>Project Dates</t>
  </si>
  <si>
    <t>Resource</t>
  </si>
  <si>
    <t>Milestone billing amount</t>
  </si>
  <si>
    <t>Scope</t>
  </si>
  <si>
    <t>Overall Progress</t>
  </si>
  <si>
    <t>Weekly Plan</t>
  </si>
  <si>
    <t>Technology / tools</t>
  </si>
  <si>
    <t>Challenges / Risks</t>
  </si>
  <si>
    <t>Update Date</t>
  </si>
  <si>
    <t>Profit_YTD MIS</t>
  </si>
  <si>
    <t>Profit_FY24-25_MIS</t>
  </si>
  <si>
    <t>search_db1</t>
  </si>
  <si>
    <t>Project Manager / Lead</t>
  </si>
  <si>
    <t>INVEST INDIA</t>
  </si>
  <si>
    <t>PMG INVEST INDIA</t>
  </si>
  <si>
    <t>North</t>
  </si>
  <si>
    <t>Application Maintenance</t>
  </si>
  <si>
    <t>36 Months</t>
  </si>
  <si>
    <t>Monthly</t>
  </si>
  <si>
    <t>Start Date (PO) : 17-Jul-23 :: End Date (PO) : 16-Jul-26</t>
  </si>
  <si>
    <t>15</t>
  </si>
  <si>
    <t>23.34 L</t>
  </si>
  <si>
    <t>Hiring of Professionals for --
Application Development and Maintenance – 36 months 
Front End and Back End developer – 8 Resources
Full Stack developer, Solution Architect, QA Engineer, UI/UX designer, business analyst, QA automation tester, Project Manager – 1 resource each</t>
  </si>
  <si>
    <t>Bill till March
Pending 2 months for payment collection
---------------------------------------------------------------------------------------------------------
S.no Bucket name No. of Tasks
1. No Status 15
2. Estimation 10
3. Designing 10
4. To Do 24
5. In Progress 8
6. Under QA Testing 1
7. User Acceptance Testing (UAT) 25
8. Released on Production 354
9. Closed 140</t>
  </si>
  <si>
    <t>Planned tasks- 2</t>
  </si>
  <si>
    <t>HTML,CSS,React,java, spring boot,Elastic,mysql AWS,Postman,Jenkins,CI/CD,Kibana,GIT,Docker</t>
  </si>
  <si>
    <t xml:space="preserve">Pending 2 months for payment collection
</t>
  </si>
  <si>
    <t>Amit K</t>
  </si>
  <si>
    <t>SBM-U</t>
  </si>
  <si>
    <t>SWACHH BHARAT MISSION - SBM URBAN</t>
  </si>
  <si>
    <t>SWACHH BHARAT MISSION - SBM</t>
  </si>
  <si>
    <t>Start Date (PO) : 10-Jan-24 :: End Date (PO) : 09-Jan-27</t>
  </si>
  <si>
    <t>25 resources on-boarded. (16 resources from GAIA – 09 from CMS)</t>
  </si>
  <si>
    <t>45.06 L</t>
  </si>
  <si>
    <t>Development, Maintenance and operations of an Integrated Portal for SBM used by the MoHUA
Update and maintain the various modules and functionalities developed as a part of the “Integrated Swachhatam” portal
update and maintain all mobile applications developed
Resolve all the bugs, issues and queries raised for these developed functionalities</t>
  </si>
  <si>
    <t xml:space="preserve">Current Status:
1. 25 resources on-boarded. (16 resources from GAIA – 09 from CMS)
2. Payment received till Feb’26. Invoicing for Mar’26 is done
3. New requirement received for CB, IEC MIS fields &amp; SWM modules. IEC deployed on production. MIS changes done, CB form awaited.
4. New SBM Dashboard ver2.0 (SWM, UWM, Legacy waste &amp; Toilets): C&amp;D, CB, IEC dashboard to be developed.
5. New Mission Dashboard-Integrated in Swachhatam portal, State/ULB based access work done, testing done bug fixing ongoing.
6. GFC module: Changes ongoing
7. Website updates ongoing: SBM Journey, Trash Tales, Banner Updated.
8. Swachhata App: UI changes done, testing ongoing
9. Swachh City : bug fixing ongoing.
10. ODF demo given to ADB
11. Whatsapp integration with Swachhata App: questions updated.
12. ODF mobile app revamp completed, testing &amp; bug fixing ongoing
13. GMIS Dashboard-API changes done, ESRI doing changes
14. Action Plan : issues fixed, SLTC level approval are ongoing. 
15. Support issues analysis, sharing daily status with DS.
16. Citizen Feedback dashboard developed in quicksight
</t>
  </si>
  <si>
    <t xml:space="preserve">Upcoming  activities:
1. Maintenance activities: Daily ULB support, Website changes ongoing.
2. New SBM Dashboard 2.0 development: Data verification ongoing by QA &amp; DBA.
3. SS Activities : Support ongoing for reported issues.
4. Swachh City: Fixing ongoing for minor issues. 
5. ODF documentation created, pending for review
6. All Dashboards-Bug fixing ongoing
7. GMIS Dashboard-Data verification ongoing, issues fixed by ESRI
8. MIS data : apply validation on fields : Analysis done, need to discuss &amp; finalize plan after State meeting
9.Develop Form for CB monitoring
10. Citizen Feedback dashboard for Swachhata App to be developed
</t>
  </si>
  <si>
    <t>Angular, AWS Cloud, mySQl, Posgresql, NodeJS, Java, MongoDB, RESTAPI, HTML, PHP, MicroService, Quicksight,CSS, Flutter</t>
  </si>
  <si>
    <t xml:space="preserve">Major Challenges:
1. Need Replacement of Technical Team lead &amp; Tester ASAP
2. Interviews are ongoing to replace remote team members
3. Need ArcGIS resource in place of BI developer
</t>
  </si>
  <si>
    <t>Anoop K</t>
  </si>
  <si>
    <t>ORGI</t>
  </si>
  <si>
    <t>orgi OFFICE OF REGISTRAR GENERAL OF INDIA - CRS</t>
  </si>
  <si>
    <t>OFFICE OF REGISTRAR GENERAL OF INDIA - CRS</t>
  </si>
  <si>
    <t>2 Years</t>
  </si>
  <si>
    <t>Start Date (PO) : 02-Apr-24 :: End Date (PO) : 01-Apr-26</t>
  </si>
  <si>
    <t>23 +  3 ( 2 shift in other project + 1 left )</t>
  </si>
  <si>
    <t>35.2 L</t>
  </si>
  <si>
    <t>Maintenance, operations &amp; enhancement of ORGI CRS Web and Mobile Application(s) including migration of legacy data from State CRS applications to ORGI CRS and vice-versa through APIs.
Resources for 2 years as below –
Data Analytics, Database Administrator, Mobile App. Developer Android, Mobile App. Developer iOS, System Admin, Team Lead/Technical Project Manager, Training and Change Management Engineer, UI / Web Designer - 1 resource each.
API Developers, Quality Assurance/ Test Engineer, Senior Application Developers – 2 resource each
Application Developers, Technical Support (helpdesk) – 6 resource each</t>
  </si>
  <si>
    <t>. State onboard is on going.
. Receive and provide Data from Non CRS State through API.
. AADHAR , TRANSLITRATION and Payment Integrations.
. DB,System performance and monitoring continue above 99.6 % availability.
. Bag resoluation
. Development of new Module is under process as per CRS requirement in Web ,iOAS and Android App.
. Oracle Interactive Analytics Dashboard for Statistics with dynamic charts and KPIs,</t>
  </si>
  <si>
    <t xml:space="preserve">Jan Payment Approval pending from RGI.
Feb and March attendance and Document verification ongoing.
DAST and VAPT Security Audit
Bulk cancellation of certificate
Strenghten of User prrofile.
Entered Legacy data approved by DR
Issue resoluation </t>
  </si>
  <si>
    <t>Node JS, Android, iOS, ORACLE database , REST, API design, HTML, CSS, JavaScript, JSON, IIS/ Apache, Linux, Aadhaar Vault, NSDL PayGov, C-DAC</t>
  </si>
  <si>
    <t>1 Priyanka,Rewati and Sahil Replacement as a developer
2 Replacement of DBA , DBA resigned from his post
3 Telengana State Onboarding on CRS Portal- 1st May April7 
4 OS Patch upgradation in production.
5 GOA onboarding fro 15 May</t>
  </si>
  <si>
    <t>Dhananjay J</t>
  </si>
  <si>
    <t>ECCS NEW</t>
  </si>
  <si>
    <t>EXPRESS CARGO CLEARANCE SYSTEM – ECCS NEW 2.0</t>
  </si>
  <si>
    <t>EXPRESS CARGO CLEARANCE SYSTEM – ECCS 2.0</t>
  </si>
  <si>
    <t>West</t>
  </si>
  <si>
    <t>2 years (incl. 3 month HOTO)</t>
  </si>
  <si>
    <t>Quarterly</t>
  </si>
  <si>
    <t>Start Date (PO) : 26-Sep-24 :: End Date (PO) : 25-Sep-26</t>
  </si>
  <si>
    <t>68</t>
  </si>
  <si>
    <t>287.27 L</t>
  </si>
  <si>
    <t>Application Support, Onsite support Helpdesk Operations and Maintenance Services and upkeep of the ECCS Application
Manage and deliver current and proposed CRs  
Deployment of Project Management  software tools as per RFP
Technological Upgradation of ECCS application The vendor is responsible for ECCS application technological upgrade.
Application Upgrade       
Version Upgrade
Architecture Upgrade
User Interface Upgrade</t>
  </si>
  <si>
    <t>We have delivered required changes of SEZ in short time.
Saadhit targets are in progress along with the priorities.
Fraud related activities like investigation and fixing short term solutions in progress.</t>
  </si>
  <si>
    <t xml:space="preserve">Provide all the approvals which are necessary for 20% Pending amount &amp; Notional.
Actively start working on saadhit plan.
</t>
  </si>
  <si>
    <t>Java Struts, For upgrade - TBD</t>
  </si>
  <si>
    <t>Attendance software is in delay.</t>
  </si>
  <si>
    <t>Rahul S / Asmita S</t>
  </si>
  <si>
    <t>PFRDA</t>
  </si>
  <si>
    <t>PENSION FUND REGULATORY AND DEVELOPMENT AUTHORITY - PFRDA</t>
  </si>
  <si>
    <t>Software Development</t>
  </si>
  <si>
    <t>1 yr Proj + 1 Yr Warr + 4 Yr AMC</t>
  </si>
  <si>
    <t xml:space="preserve">10% SRS ( 2m), 10% UAT( 7m), 10% VAPT/Audit  ( 8m), 50% Implementation (9m), 10% training( 10m), 10% final Go-live ( 12m) for Solution cost of 622 L </t>
  </si>
  <si>
    <t>Start Date (PO) : 18-Dec-23 :: End Date (PO) : 17-Dec-29</t>
  </si>
  <si>
    <t>13</t>
  </si>
  <si>
    <t>As per achievment</t>
  </si>
  <si>
    <t>Design, development, implementation and maintenance of PFRDA intranet portal(PINTRA) - internal digitalization (HRMS and finance) along with mobile app for HRMS
Modules – HRMS, Finance, Admin, Legal, IT Management System
9 months Go-Live + 3 months Stabilisation + 1 Year Warranty + 4 Years AMC
Payment Milestone : 10% SRS ( 2m), 10% UAT( 7m), 10% VAPT/Audit  ( 8m), 50% Implementation (9m), 10% training( 10m), 10% final Go-live ( 12m) for Solution cost of 622 L 
Quarterly Payment for below;
FMS during Warranty – 0.5 L / Qtr for 4 Qtr = 2 L
MeitY empanelled GCC / VPC – 13.5 L/Qtr for 20 Qtr = 271 L
Support Payment for Operations – 17.6 L/Qtr for 20 Qtr = 354 L
CR – 17 L as &amp; when required</t>
  </si>
  <si>
    <t>Work is currently underway to stabilize the system, and we are actively addressing the reported issue. At the same time, parallel discussions are ongoing to close the training milestone. We have formally requested closure of the training phase, after which stabilization will follow. Internal discussions are in progress within PFRDA, and the training may be scheduled for next week.</t>
  </si>
  <si>
    <t>Closure of Training and Stabilization Phase</t>
  </si>
  <si>
    <t>Spring Boot, Odoo, React JS, Apache, PostgreSQL, Postman, Moodle, Figma, Ubuntu, AWS Cloud, Flutter, React, Node JS</t>
  </si>
  <si>
    <t>A high-level meeting is required with CMS and PFRDA senior management to finalize the closure of the stabilization phase and initiate O&amp;M.</t>
  </si>
  <si>
    <t>Dharmendra J</t>
  </si>
  <si>
    <t>DIC NHAI</t>
  </si>
  <si>
    <t>DIGITAL INDIA CORPORATION - NATIONAL HIGHWAY AUTHORITY OF INDIA DIC NHAI</t>
  </si>
  <si>
    <t>DIGITAL INDIA CORP - NATIONAL HIGHWAY AUTHORITY OF INDIA</t>
  </si>
  <si>
    <t>3 Years</t>
  </si>
  <si>
    <t>Track 1 (2m) - 10%, Track 2 (4m) – 20%, Track 3 (6m) – 20%, 8m – 50%</t>
  </si>
  <si>
    <t>Start Date (PO) : 13-Nov-24 :: End Date (PO) : 12-Nov-27</t>
  </si>
  <si>
    <t>58</t>
  </si>
  <si>
    <t>As per achievment, Phase 3 &amp; 4 - 382 L</t>
  </si>
  <si>
    <t>Developing and Maintaining a state-of-the-art Application to support transaction-based business processes covering entire lifecycle of National Highway projects of NHAI – Data Lake 2.0 upgradation.
Payment Phase &amp; milestone wise
Track 1 (2m) - 10%, Track 2 (4m) – 20%, Track 3 (6m) – 20%, Track 4 (8m) – 50%
Every phase of 6 months.
Deployment of proposed 33 resources. (+5 in phase 2)</t>
  </si>
  <si>
    <t xml:space="preserve">Overall Progress
→ Phase I updates
→ Phase 1 all 4 tracks billing completed.
→ Payment received till Track 4 for Phase 1.
→ All Nine modules of Phase I development &amp; production deployment is done.
→ Phase II documentation for the modules developed till date has been submitted to DIC.
→ All Eleven modules of Phase II development &amp; production deployment is done.
→ Billing submitted for Phase II.
→ Phase II &amp; Phase III updates
→ Modules deployed on production
Team Structure, BICRS, Highway QR, Road Closure, Document Repository, Critical Correspondence, Json API Setu for Road Closure, MoRTH &amp; NHIDCL, Road Closure Enhancement, Deployment of NHIDCL and MoRTH, RSA Edit Observation, BICRS ATR (Enhancement), RSA Remarks (multiple feedbacks), Merge Contracts, Road Warning, XRAY Implementation, RM Offline, DAMS(Drone Video), NSV, Issuance of NCR Module, Merge contract , Enable Team structure for All type UCC, Custom Pagination in Table for All module, JI Related changes in RM Module, AMS CSV related changes,RFI Bug Fixes, RSA Bug Fixes
- Requirement gathering done for
1. On boarding of DPR Consultant, 2. Physical and Financial Progress, 3. User fees agency, 4. Digital O &amp; M MPR, 5. LAC-1 (Alignment Approval), 6. LAC- 2 (Plan approval), 7. Critical Issues and Actions, 8. Digital MPR(Construction),9. LOA Issuance to Contractor, 10. Outstanding Payment, 11. Payment for Contractor/Concessionaire during construction, 12. Onboarding of consultant(AE/IE/SC), 13. Monitoring 3A, 14. Monitoring 3D, 15. 3G Declaration of Award, 16. 3 H Payment Land Aquisition,17. BID document preparation CO, 18. BID invitation CO, 19.LOA issuance to AE/IE SC and Agreement signing, 20.Financial Closure, 21. Issue of appointment date,22 Application Permits,23 Joint Memorandum of Handing over of Land or providing ROW,24 Utility Shifting,25 DPR Preparation Submission and Review,26 Submission and Approval of Work Programme, 27. Contractor manpower Deployment, 28. Equipment Deployment, 29. Construction Methodology,
- Requirement gathering in progress for
1.Toll Collection API,  2. Design and Drwaing Submission Revision, 3. Submission and Approval of Work Programme, 4. Contractor manpower Deployment, 5. Equipment Deployment, 6. Construction Methodology, 7. Quality Assurance Plan, 8. Quality Inspection by SRDQ, 9. Quality Inspection by PD / RO / GM, 10. EoT, 11. CoS/Withdrawl of Work, 12. Surplus Land Monitoring, 13. PCC / PCOD, 14. Punchlist Monitoring, 15. CC / COD, 16. payment for DPR, 17.Toll Asset Management API, 18. Termination of contract, 19.Blacklisting of agencies individuals,, 20. PATSC/IAC Appraisal and approval, 21. SFC Approval, 22. EFC Approval, 23. PPAC Approval, 24. Project Secession,
- Requirement Pending
1.Stripe Charts
- Design in Progress
Utility Shifting,
CC/ COD
- Modules development in progress on
Payment For Contractor/Concessionaire during maintenance period
Onboarding of Consultant (AE/IE/SC)
Contractor Onboarding
LOA Issuance to AE/IE/SC &amp; Agreement signing
Bid Document Preparation (CO)
Bid Invitation (CO)
Bid Evaluation (CO)
LoA Issuance to Contractor
Agreement-Contractor/ Concessionaire
Issue of Appointment Date
Financial Closure( in PPP Projects)
Critical Issues and Actions
RSA Offline
- Modules in QA/UAT
Payment to AE/IE – In UAT
Digitization of Schedule H – In QA
Onboarding O&amp;M Agency and other Agencies – In UAT
Rectification of Blackspots – In Development parallel in QA
Road Accident Monitoring &amp; Reduction API – In QA
Digital O&amp;M MPR –in UAT
Payment for Contractor/Concessionaire during maintenance period –  In QA
Onboarding of DPR Consultant – In QA
LoA Issuance to DPR Consultant – In QA
Appointment / DPR Personnel - In QA
- Enhancements
RM
AMS
Issuance Of NCR
NSV
DAMS
RSA Offline
- Miscellaneous(Blockers)
API Performance
Query Optimisation
API versioning
Security fixes - generic to all module
Data Migration
</t>
  </si>
  <si>
    <t xml:space="preserve">→ Deployment Of 
Payment to AE/IE – In UAT
Digitization of Schedule H – In QA
Onboarding O&amp;M Agency and other Agencies – In UAT
Rectification of Blackspots – In Development parallel in QA
Road Accident Monitoring &amp; Reduction API – In QA
Digital O&amp;M MPR –in UAT
Payment for Contractor/Concessionaire during maintenance period –  In QA
Onboarding of DPR Consultant – In QA
LoA Issuance to DPR Consultant – In QA
Appointment / DPR Personnel - In QA
</t>
  </si>
  <si>
    <t>No-SQL, Ruby, Python, Java, HTML, CSS, JavaScript, Angular, React, GIS/ML, Cloud - TBD, Node JS, Rest API</t>
  </si>
  <si>
    <t>→ Immediate requirement of 20 New Resources(8 - Frontend + 8 - Backend + 2 - QA) , 2 - UI/UX, Replacement of BA's, immediately to complete all modules by 31st May.
→ Phase II timelines are tight considering the workload and late onboarding of additional resources.
→ Replacement of BAs still pending
→ Replacement of Deepanshu still pending
→ Scope addition / Change Requests in ongoing development, even on the final day</t>
  </si>
  <si>
    <t>Rakesh S / Rajni P</t>
  </si>
  <si>
    <t>DAnFW</t>
  </si>
  <si>
    <t>DEPARTMENT OF AGRICULTURE CORPORATION AND FARMER WELFARE DIVISION MINISTRY MAOFW DANFW DACFW dept of agri.</t>
  </si>
  <si>
    <t>DEPT OF AGRICULTURE CORP &amp; FARMER WELFARE</t>
  </si>
  <si>
    <t>Start Date (PO) : 05-Dec-24 :: End Date (PO) : 04-Dec-26</t>
  </si>
  <si>
    <t>51</t>
  </si>
  <si>
    <t>67.88 L</t>
  </si>
  <si>
    <t>Deployment of technical resources for application development, customization and maintenance for ‘digital agriculture division, DA&amp;FW’
Deployment of required 34 resources.
1 resource each – Team Lead, Sr Mobile Developer, tester, BA, content management expert.
2 resource each – Full stack/Sr Developer, UI/UX, API developer, mobile developer, dashboard expert, e-office support.
3 resource each – Sr Front end developer, VC support
5 resource – Full stack developer (&gt;6 to &lt;10 yrs.)
6 resource – Full stack developer (&gt;3 to &lt;6 yrs.)
Deployment of 16 resources on need basis.</t>
  </si>
  <si>
    <t>Payment :
March -26 : Attendance verification in progress
1] Krishi Mapper :
A. KM 2.0 : Testing in progress for all modules : user management , data quality check(DQC),MIS Report,Dashbord monitoring.
B. KM 2.0 mobile APP : Testing in progress for single login for 7 schemes has been done and in testing phase .Rest 17 scheme need to onboard.
C. KM 2.0 server infrastructure : discussion is going for server infrastructure upgradation for optimized site.
D .Offline mode for demonstration : Need to complete in this week.
E .POS : User Management in progress
F. POS Mobile APP : Development need to done for the changes discussed.
G. M&amp;T Edit option in mobile APP : deleiverd on 22nd for edit finctionality and counter
2]. KY portal : Send to VAPT
3]. Agristack Dashboard :
1.DCS dashboard : Testing in progress and should be showcae to DAFW secretary 
2.FR Dashboard : Data verification has been in progress. Karnataka Data has issue..Continuous discussion with third party.</t>
  </si>
  <si>
    <t>1.KM2.0 Mobile APP development
2. KM 2.0 User management Testing
3. KM 2.0 POC in one state
4. POS mobile APP
5. Offline Demonstration</t>
  </si>
  <si>
    <t>C#, ASP.NET, MVC, .NET Core, Visual Studio, HTML5, CSS3, RESTful API, MERN, flutter, react Native, MS SQL, e-Office</t>
  </si>
  <si>
    <t>Priority task changes frequently which affect the development.
addition / Change Requests in ongoing development</t>
  </si>
  <si>
    <t>Sumankumar / Ravi R</t>
  </si>
  <si>
    <t>GWALIOR SC ICCC</t>
  </si>
  <si>
    <t>Smart City</t>
  </si>
  <si>
    <t>62 month (incl. 2 mnth HOTO)</t>
  </si>
  <si>
    <t>FMS – 11 L + Taxes (monthly billing)
O&amp;M – 13 L + Taxes (quarterly billing)
Audit – 8 L + Taxes (yearly billing for 1st Year)
Upgradation – 324 L + Taxes (60% - 194 L)</t>
  </si>
  <si>
    <t>Start Date (PO) : 30-Aug-24 :: End Date (PO) : 31-Oct-29</t>
  </si>
  <si>
    <t>33</t>
  </si>
  <si>
    <t>As per milestone</t>
  </si>
  <si>
    <t>ICCC &amp; DC upgradation with 5 years comprehensive AMC – 60% on SITC &amp; 2% every Quarter with O&amp;M payment
CAMC of existing IT &amp; non-IT infra -  quarterly payment
Manpower services: 39+1(non-billable) – monthly payment 
ICCC certifications – Yearly payment
Provision – as &amp; when required.</t>
  </si>
  <si>
    <t>Q1, Q2, Q3 &amp; Q4 Manpower and existing Infra payment released and Q1 &amp; Q2 New BOQ 2% payment released.
2. Q5(Nov.25 to Jan.26) &amp; Q3 new BOQ bill submitted to client as on 6th April for SLA Calculation completed yesterday and payment file move to E-gov. Manager for note sheet process.
3. Total 33 Manpower deployed at Gwalior ICCC Project.
4. ISO 27001 &amp; 20000 Certification due to some points approval pending from client side. (Letter submitted to client but there is no response)
5. Consumable Items(Printer repair and house keeping etc.) Payment 51769 received  on 22nd April. 26</t>
  </si>
  <si>
    <t>Q5(Nov.25 to Jan.26) &amp; new BOQ Q3(Oct.25 to Dec.25) payment follow up to client.
2. Cooling system not working properly mail drop to vendor and close this issue ASAP.
3. Insurance team payment follow up in ICCC videowall and switches. (Email drop to PMO &amp; Legal team) 
5. San storage Controller replaced working properly now.
6. Breakdown issues and PM activity going on of ICCC and DC.
7.Boundary wall work PO received to vendor work will start as per agreement.
8. Cooling system not working in ICCC- Vendor visited but PCB card faulty not arrange till date follow up going on.</t>
  </si>
  <si>
    <t>NA</t>
  </si>
  <si>
    <t>IT Equipment like server, Tape library &amp; switch and San storage AMC not start yet.(this is very critical, as per our RFP in Tape library take 6 months camera feed and other storage but currently there is no solution )-Pending from HO &amp; Purchase team.
2.For ISO CERTIFICATION PUSH TO Client FROM OUR SALES TEAM.-Letter submit to client for help to close ISO.
3.One server failure issue. there is no AMC.-Email drop and discuss to vendor for this.
4. as per RFP we can raise invoice after one year completion 4% increment amount but consultant is deny for this. we can discuss internally  HR and management team for this final solution.</t>
  </si>
  <si>
    <t>Sachin S</t>
  </si>
  <si>
    <t>Kanpur SC O&amp;M</t>
  </si>
  <si>
    <t>Kanpur SC O&amp;M tech mahindra TECHM</t>
  </si>
  <si>
    <t>42 month</t>
  </si>
  <si>
    <t>Start Date (PO) : 01-Jan-23 :: End Date (PO) : 25-Jun-26</t>
  </si>
  <si>
    <t>45</t>
  </si>
  <si>
    <t>381 L</t>
  </si>
  <si>
    <t>O&amp;M support, AMC of all BOQ. Maintenance of Hardware, Network, Software, ICT Infrastructure, L1 , L2, L3 &amp; OEM Support of all field solutions, DC &amp; DR and applications for 42 months ( 50 junctions )
BG for 762 L to be submitted, advance payment of 2 Qtrs will be released  after signing SOW. BG would be returned back to CMS after 4 Qtrs.
PBG of 3% of balance of TCV (137 L) to be submitted at end of Qtr 4.</t>
  </si>
  <si>
    <t>1)Jan23 to Jun25 (Total 10 quarters payment released- 75%)
2) Billing done for AMJ’25 Qtr amounting to INR 3.81 Cr.</t>
  </si>
  <si>
    <t xml:space="preserve">1) Gathering of poles laying onsite for inventory consolidation
2) Polycom equipment for conducting virtual meet to be made functional. 
3) Inventory verification and rectification to compare the record of client’s inventory sheet provided. 4) Conducting Preventive Maintenance plan for the sites.
5) With 5 sites completed, for expedition of ANPR camera installation at Entry-EXIT locations of 10 sites proposed from client temporarily kept on hold due to bandwidth issue.
6) As per the meeting with Videonetics in Jan’26 the response from them remains awaited for UAT towards their implemented ITMS application towards compliance requirement from client.
7) To survey with metro team of routes where the KSCL is requested to dismantle the solutions for movement of material in and out of metro – currently kept on hold due to information of route change but no official info received 
8) Discussion with Tech-M towards commercial quotation provided for 4 routes where dismantling is instructed from Setu Nigam Dept.
9) Weekly testing for onsite Speed Calibration for ITMS-SVD
10) Coordination with Tech-M for Metro &amp; Shifting site Inventory consolidation
11) Reimbursement of recurring charges from Tech-M
12) Follow-up with purchase on procurement of batteries, Nova-star –multimedia player, LED Screen Hub Board &amp; Receiving Card.
13) Explore the feasibility of issuing 50 sims for EMS device locally from Kanpur.
14) Expedition on 14 sites out of ATCS -23 junctions for making it operational, permissions awaited.
15) Troubleshooting of Videonetics ITMS application exhibiting “0” kmph.
16) Response awaited from vendor for VMSB issue resolution to make it live.
17) Coordination with Sudhir sir for Li-Ion Batteries.
18) Replacement of batteries at D.C on priority.
19) Hiring of 3 people for 2 position in the project i.e. ICCC Operator (Qty:1), Senior Field Engg.(Qty:2) Though candidate shortlisted for ICCC operator client yet to approve on candidate.
20) Coordination with purchase team for delivery of 140 traffic sensors. 
21) Meeting with field team to investigate the Theft control of devices deployed onsite.
</t>
  </si>
  <si>
    <t xml:space="preserve">1) Client’s requirement of UAT report towards Videonetics application implemented from CMS if not complied shall face impediment from client while the project closure. 
2) Exhibit of “0” Kmph speed in Videonetics-ITMS application detected for moving vehicles categorically for 2 wheelers.
3) Resolution from Videonetics towards application’s database issues.  
4) Further client wants Videonetics team to be onsite for solving all the issues causing the downtime of their applications.
5) Delivery of Batteries if prolonged the client has already indicated that the purchase shall be effected from their side and recovered from receivables of CMS . 
6)VMSB devices facing recurring problems (dark spots, LAN Cards, black lines, component failures). Smart Parking sensors &amp; VMSB card-related issues.
7) ATCS 23 junction activity work has suffered due to vendor M/s SPIT inactions in expediting works
8) DR/DC – The OEM ESDS services has expired in Dec’24 and has been disabled.  
9)Client’s requirement of inventory list.
10) Trade Licenses renewal
11) Unavailability of resource for the position of Field Team Lead since Nov’25 is hampering the site activities tasks.
12) Smart parking- Nov Star multimedia player, LED Screen Hub Board &amp; Receiving Card delay in procurement will also delay the delivery of solution to client.
13)140 smart parking sensors delivery pending to be procured/received for the project.
14) Unavailability of 50 sims can be a pain point while handover.
</t>
  </si>
  <si>
    <t>Saleel H</t>
  </si>
  <si>
    <t>NMPT</t>
  </si>
  <si>
    <t>NEW MANGALORE PORT TRUST - NMPT</t>
  </si>
  <si>
    <t>South</t>
  </si>
  <si>
    <t>CRP</t>
  </si>
  <si>
    <t>5 years</t>
  </si>
  <si>
    <t>Start Date (PO) : 01-Jul-24 :: End Date (PO) : 01-Jul-29</t>
  </si>
  <si>
    <t>7.3 L</t>
  </si>
  <si>
    <t>Operation and Comprehensive annual Maintenance Contract (CAMC) of the RFID System for a Period of 5 years at NMPA.
FMS – 12 data entry operators, 2 Technician, 1 Service Engineer
Replacement of existing Infrastructure in 1st year. – 197 L (inc. KK &amp; Cruise gate augmentation).
Payment within 15 days after SITC of replacement. 
Integration with existing system.</t>
  </si>
  <si>
    <t>dec and Jan bills are already dispatched to NMPA finance.
Oil jetty gate order needs to be accepted at the earliest</t>
  </si>
  <si>
    <t>Maintenance and follwoup with NMPA for payment process</t>
  </si>
  <si>
    <t>Prashant P</t>
  </si>
  <si>
    <t>Vadodara Traffic</t>
  </si>
  <si>
    <t>VADODARA VMC TRAFFIC</t>
  </si>
  <si>
    <t>SITC 4 Mths  &amp;  O&amp;M -  5 Yrs</t>
  </si>
  <si>
    <t>After SITC</t>
  </si>
  <si>
    <t>Start Date (PO) : 26-Feb-24 :: End Date (PO) : 25-Jun-29</t>
  </si>
  <si>
    <t xml:space="preserve">shared resources </t>
  </si>
  <si>
    <t>full</t>
  </si>
  <si>
    <t>Design, supply, Erection testing &amp; commissioning of traffic signal at various 28 junction.
Upgradation of old traffic signal at 44 Junction.
Integration with existing system.
5 year comprehensive maintenance service.
Payment 100% after successful installation.</t>
  </si>
  <si>
    <t>1.We have installed 28 no new signal and 10 old signal upgraded
2. Project Under O &amp; M</t>
  </si>
  <si>
    <t>1..Invoice Process follow up
2. New software testing UCON 12
3. O &amp; M activity</t>
  </si>
  <si>
    <t>7 no UCON controller need to update.
7 no location battery stolen which is under insurance</t>
  </si>
  <si>
    <t>Sachin R</t>
  </si>
  <si>
    <t>VADODARA ICCC</t>
  </si>
  <si>
    <t>VADODARA ICCC vadodara</t>
  </si>
  <si>
    <t>Start Date (PO) : 01-Aug-24 :: End Date (PO) : 31-Jul-29</t>
  </si>
  <si>
    <t>17</t>
  </si>
  <si>
    <t>100.99 L</t>
  </si>
  <si>
    <t>O&amp;M support, AMC of all BOQ. Maintenance of Hardware, Network, Software, ICT Infrastructure, L1 , L2, L3 &amp; OEM Support of all field solutions, DC &amp; DR and applications for 60 months
Deployment of manpower : Project Manager (1), Technical Expert (4) [Network and Security, Video management, server-storage, CCC software], Electrician (4), Field staff (8)  
PBG of 3%</t>
  </si>
  <si>
    <t>1.Second year third quarter continue
2. O &amp; M activity</t>
  </si>
  <si>
    <t>1.O &amp; M activity
2. DR Deployment</t>
  </si>
  <si>
    <t>1.17 no old UCON controller need to change
2. 300 no LED module need to replace with OEM
3. 50 no LED module need to collect from LUMINA
4. C1 &amp; C2 project battery needs to replace with HBL &amp; EATON
5. Gandhi Nagar 2 no controller replacement pending</t>
  </si>
  <si>
    <t>ISCDL</t>
  </si>
  <si>
    <t>INDORE SMART CITY ISCDL</t>
  </si>
  <si>
    <t>INDORE SMART CITY</t>
  </si>
  <si>
    <t>SITC – 9 M, O&amp;M – 5 Yr</t>
  </si>
  <si>
    <t>Start Date (PO) : 01-Nov-22 :: End Date (PO) : 31-Aug-29</t>
  </si>
  <si>
    <t>5</t>
  </si>
  <si>
    <t xml:space="preserve">43.3 L + Taxes (O&amp;M) </t>
  </si>
  <si>
    <t>Implementation of (ITMS) for 50 Junctions with Centralised Monitoring + 50 additional services
Payment Milestone wise
5% Inception Report, 10% requirement Study, 30% material delivery &amp; commissioning of 1 corridor ( 15 Junctions ) , 30% remaining delivery ( 35 junctions + 20 SVD + 20 ATCC and 10 TVD ) &amp; commissioning, 25% Go Live.
O &amp; M : 5 Years
CAPEX ~20.37 Cr   &amp; OPEX ~ 8.66 Cr</t>
  </si>
  <si>
    <t>Milestone billing file submitted at CEO sir office.</t>
  </si>
  <si>
    <t>Working for rest work included BRTS, shifting etc.</t>
  </si>
  <si>
    <t>no</t>
  </si>
  <si>
    <t>Akash K</t>
  </si>
  <si>
    <t>IREL</t>
  </si>
  <si>
    <t>INDIAN RARE EARTHS LIMITED - IREL</t>
  </si>
  <si>
    <t>SITC –  12 Months , O&amp;M -  4 Yrs</t>
  </si>
  <si>
    <t>Milestonewise</t>
  </si>
  <si>
    <t>Start Date (PO) : 29-Oct-18 :: End Date (PO) : 30-Sep-25</t>
  </si>
  <si>
    <t>20</t>
  </si>
  <si>
    <t>As per Achievement</t>
  </si>
  <si>
    <t>Development of  Integrated ERP System (IITS) (326 L) 
FMS including support &amp; maintenance (147 L)
Cloud Services (574 L)
Change Request (63 K)</t>
  </si>
  <si>
    <t>Working on UI enhancements. Applying Bootstrap</t>
  </si>
  <si>
    <t>FA CO modules development is in progress.</t>
  </si>
  <si>
    <t>Core Java, BIRD tool, postgre, ESDS cloud</t>
  </si>
  <si>
    <t>Project is on hold</t>
  </si>
  <si>
    <t/>
  </si>
  <si>
    <t>Sridhar T</t>
  </si>
  <si>
    <t>Guwahati SC</t>
  </si>
  <si>
    <t>Guwahati SC Honeywell Automation India Limited</t>
  </si>
  <si>
    <t>East</t>
  </si>
  <si>
    <t>1 Year + O&amp;M</t>
  </si>
  <si>
    <t>10% of capex - Submission of Survey report, built report, project deployment plan.
50% - supply of material on pro-rata basis
15% - installation of material on pro-rata basis
15% - commissioning on pro-rata basis
5% - Go-live on pro-rata basis for individual system
5% - Overall Go-live of complete project.</t>
  </si>
  <si>
    <t>Start Date (PO) : 10-Feb-25 :: End Date (PO) : 09-Feb-26</t>
  </si>
  <si>
    <t>2</t>
  </si>
  <si>
    <t>SITC for --.
1] 20 ECB.
2] 20 PA.
3] 10 ENV SENSOR.
4] 10 VMD.
5] 1 GIS Software.
-- 5 years O&amp;M after Go-live for supplied BOQ.</t>
  </si>
  <si>
    <t xml:space="preserve">1.	EVS: 10/10 Nos. EVS installation done and commissioning done. 
2.	PA: 20/20 Pairs PA installation done. Application installed, commissioning &amp; integration with ICCC application done, Hardware and software UAT done. Handover activities done. 
3.	VMD: 10/10 Nos. VMD foundation done and Display installed. Application installed, commissioning &amp; integration with ICCC application done.  Earth-pit installation done. For all 10 Nos. VMD Cable laying, connection done. Due to Meter power, UPS power not available and Network also not available from Honeywell end 2 Nos. VMD still power on activities pending. Hardware and Software UAT done. System handover activities completed.
4.	ECB: 20/20 Nos. ECB enclosure foundation &amp; installation done, all 20 ECB installation done and power on. Application installed and commissioning done and UAT done. Integration with ICCC application not yet completed by Trinity and Sparsh.  Sparsh ECB hardware LAN connectivity issue temporarily resolved by CMS filed team Only. Stil Sparsh not given any solutions. Hardware and Software UAT done and handover activities done. 
5.	GIS application installation and integration done. Application UAT done and system handover activities done. 
6.	8 No. EVS power on. 2 EVS still Power off due to power not available from HW team. Application and integration done. Hardware and Software UAT done and handover activities done. 
7.	99% billing done.  87.53% payment received. 
</t>
  </si>
  <si>
    <t xml:space="preserve">1.	Go-Live Signoff.  </t>
  </si>
  <si>
    <t xml:space="preserve">1.	ECB/PA OEM (Sparsh) is not supporting properly. 
2.	They Have hardware issues and Application issues. 
3.	Sparsh 5 Nos ECB Are found faulty. Need urgent support from them.
4.	Sparsh ECB TCP/IP connectivity not happening. 
</t>
  </si>
  <si>
    <t>Arindam R</t>
  </si>
  <si>
    <t>MCS - L&amp;T</t>
  </si>
  <si>
    <t xml:space="preserve">Mumbai city surveillance larsen and toubro mcs </t>
  </si>
  <si>
    <t>Mumbai City Surveillance</t>
  </si>
  <si>
    <t>3 months</t>
  </si>
  <si>
    <t>Start Date (PO) : 31-Dec-25 :: End Date (PO) : 04-Mar-26</t>
  </si>
  <si>
    <t>224</t>
  </si>
  <si>
    <t>72.86 L</t>
  </si>
  <si>
    <t>Viewing Manpower in 4 shifts including backup to cover 203 shifts daily.</t>
  </si>
  <si>
    <t>2 Candidates Documentation process is in progress for Training.
3 Candidate is lined up for interview this week.
November-2025 partial Collection received</t>
  </si>
  <si>
    <t>3 candidates Interview for this week
AR Collection follow-up with Customer
PF &amp; ESIC Challan follow-up with Vendor Million Minds</t>
  </si>
  <si>
    <t>Need to deploy Operator's in Mantralaya because frequent Shortfall 
Follow-up for November-2025 AR Collection</t>
  </si>
  <si>
    <t>Jaywant P</t>
  </si>
  <si>
    <t>JNPA</t>
  </si>
  <si>
    <t>Jawaharlal Nehru Port Authority JNPA jnpt</t>
  </si>
  <si>
    <t>Jawaharlal Nehru Port Authority</t>
  </si>
  <si>
    <t>EMS</t>
  </si>
  <si>
    <t>6 months + 5 Yr CAMC</t>
  </si>
  <si>
    <t>Product Cost Payable on Product Delivery - 70%
ICT Charges - 30%</t>
  </si>
  <si>
    <t>Start Date (PO) : 07-Apr-25 :: End Date (PO) : 04-Oct-25</t>
  </si>
  <si>
    <t>1</t>
  </si>
  <si>
    <t>131.78 L</t>
  </si>
  <si>
    <t>Hardware Supply: Completed as per BOQ and timelines; fully billed.
IT &amp; EEMS Setup: Infrastructure, servers, and EEMS software fully deployed and ready for live operation.
Substations (1, 2 &amp; 3): Data integration setup completed and tested; live data pending due to network unavailability.
Main Substation (SCADA): Integration on hold due to protocol mismatch (MODBUS vs IEC) and pending commercial agreement.
ABT Meters: Installation not finalized due to technical constraints and pending decision from JNPA.
Billing Meters: Fully operational; communication established and billing functioning smoothly.
RMU Panels: Integration pending due to incomplete LAN/OFC network.
Water Flow Meters: Installation in progress; partial completion achieved, balance planned.</t>
  </si>
  <si>
    <t>Completion of 400 MM water meter installation subject to outage availability from JNPA</t>
  </si>
  <si>
    <t>PostgreSQL, DLMS, MODBUS, GPRS, Python, DotNet MVC</t>
  </si>
  <si>
    <t xml:space="preserve">Network Unavailability: No LAN/OFC connectivity across JNPA is delaying live data flow and multiple integrations.
SCADA Integration Dependency: Integration stuck due to protocol mismatch (MODBUS vs IEC) and pending commercial agreement with GE.
ABT Meter Installation Constraints: Technical limitation (no spare metering core on HV side) and no final decision from JNPA.
Third-Party Dependencies: Progress dependent on GE SCADA, MSETCL inputs, and JNPA approvals.
RMU Communication Delay: Integration pending until OFC network is commissioned.
Water Meter Installation Delays: Dependent on site conditions (pipeline readiness, approvals, shutdowns).
</t>
  </si>
  <si>
    <t>Brayan F</t>
  </si>
  <si>
    <t>DIC ROB</t>
  </si>
  <si>
    <t>DIGITAL INDIA CORP -PRD RAILWAY &amp; ROB GIRDER INSPECTION PORTAL DIGITAL INDIA CORP -PRD RAILWAY &amp; ROB GIRDER INSPECTION PORTAL  DIC ROB</t>
  </si>
  <si>
    <t>DIGITAL INDIA CORP - PRD RAILWAY &amp; ROB GIRDER INSPECTION PORTAL</t>
  </si>
  <si>
    <t>4 months + O&amp;M</t>
  </si>
  <si>
    <t>Track 1 - 10%, Track 2 – 20%, Track 3 – 20%, 8m – 50%</t>
  </si>
  <si>
    <t>Start Date (PO) : 09-Jun-25 :: End Date (PO) : 08-Oct-25</t>
  </si>
  <si>
    <t>10</t>
  </si>
  <si>
    <t>As per achievment.</t>
  </si>
  <si>
    <t>Developing and Maintaining a state-of-the-art Application to used for handling the process related to constructing a railway girder over the roads/highways including various stages of requests, inspection and approval process involving different stakeholders/users.
Need to automate &amp; manage the process through web-based portal which is currently handled manually/paper-based.
In Phase -1, The process related to Quality Assurance Plan (QAP) and  Welding Procedure Specification Sheet (WPSS) will be automated.
In Phase-2, rest of the processes to be automated.
Payment Phase &amp; milestone wise
Track 1 - 10%, Track 2 – 20%, Track 3 – 20%, Track 4 – 50%
Deployment of proposed resources for total 80 Man-months.</t>
  </si>
  <si>
    <t xml:space="preserve">My Profile
Integration with E-Sign
API Integration with RRCGAS
GAD Metadata Entry and GAD Document Upload
GAD Metadata Extraction
Onboarding of Stakeholders
Agency Selection
Process Workflow Modules:
QAP (Quality Assurance Plan)
WPSS (Welding Procedure Specification Sheet)
Raw Material Procurement
WPQR (Welding Procedure Qualification Record)
Layout, Master Plates, Jigs, Joints, and Fixtures Inspection Request
Cutting, Straightening, and Edge Preparation Inspection Request
Welding of Girder Components Inspection Request
Trial Assembly Inspection Request
Components of Girder at Factory after Dismantling Inspection Request
Girder Painting Inspection Request
Fabrication of Girder at Site Inspection Request
Bearing Procurement Inspection Request
Final Inspection Request
Clickable DashBoard with delayed status, Prgress status
Register Should enable once QAP Approved
WPSS Forms Condition
RDSO Certificate In Hindi
Morth Approval Workflow
</t>
  </si>
  <si>
    <t xml:space="preserve">1. State PWD
2. Dashboard Report generation
</t>
  </si>
  <si>
    <t>JAVA 20, Springboot, PostgreSql, React, AWS Cloud, Microservices, Postman, Apache Tomcat webserver, SSL, Oauth, AWS ECS</t>
  </si>
  <si>
    <t xml:space="preserve">Continuous requirement changes
Need Resources for PRISM SG
</t>
  </si>
  <si>
    <t>DIC NOC</t>
  </si>
  <si>
    <t>DIGITAL INDIA CORP - NOC</t>
  </si>
  <si>
    <t>9 months + O&amp;M</t>
  </si>
  <si>
    <t>Start Date (PO) : 03-Jul-25 :: End Date (PO) : 02-Jan-27</t>
  </si>
  <si>
    <t>Development, deployment, and support of NOC Portal with modules for Login, User Registration, Application Submission, and Approval workflows.
Implementation of Registration &amp; Validation including Mobile OTP, GST validation, Aadhaar integration, and User Authorization.
Enable Application Submission with GIS data pickup, document upload, affidavit submission, e-sign, payment gateway, and Q&amp;A module.
Workflow automation for Right of Way (ROW) applications with end-to-end submission tracking.</t>
  </si>
  <si>
    <t>Worked changes on phase 2 , 
All the changes for phase 2 deployment fixed bugs on phase 2. 
BharatNet Cases, 
Application Status &amp; Listing Enhancements,
 ROW Final NOC Application Submission by Applicant for delivery on 30th April.</t>
  </si>
  <si>
    <t xml:space="preserve">We will work on 
Authority Engineer will upload the PDF document for observation.
Authority Engineers enter remarks/ observations in the text box with a word limit to 2000 words.
AE will get all the documents uploaded by applicant,
</t>
  </si>
  <si>
    <t>Hemant S / Pradeep N</t>
  </si>
  <si>
    <t>NeGD ITPO</t>
  </si>
  <si>
    <t>NATIONAL E-GOVERNANCE DIV - ITPO BHARAT MANDAPAM NATIONAL E-GOVERNANCE DIV - ITPO BHARAT MANDAPAM NeGD ITPO</t>
  </si>
  <si>
    <t>NATIONAL E-GOVERNANCE DIVISION - ITPO BHARAT MANDAPAM</t>
  </si>
  <si>
    <t>2 Years &amp; extendable for 1 yr</t>
  </si>
  <si>
    <t>Start Date (PO) : 25-Aug-25 :: End Date (PO) : 24-Aug-27</t>
  </si>
  <si>
    <t>14+2</t>
  </si>
  <si>
    <t>21.25 L</t>
  </si>
  <si>
    <t>Hiring of 14 Professionals to --
Handle the software project development, support &amp; rollout services of DIC-NeGD projects.
Primarily the services would range from core project development, implementation to management support in carrying out regular operational activities on a day-to-day basis
– For 24 months extendable upto 1 Yr.
Front End and Back End developer – 8 Resources (Including 1 senior developer each)
Mobile App Developer – 2 resources
Quality Analyst, DevOps, Project Manager cum Business Analyst, Data Entry Analyst (Platform Management) - 1 resource each
→ Annual increment of up to 10% in man month work order cost every year in accordance with the performance of resource</t>
  </si>
  <si>
    <t xml:space="preserve">1. Closed all pending issues in CC modue
2. Corporate website design got reviewed and approved by the Chairman, ITPO
3. Adding Video Section in the existing site – in review. Videos are being collected from ITPO.
4. Sitemap in the existing site has been added
5. Existing site health report prepared and got reviewed by ITPO 
6. Implemented Automatic Weekly Event Data Report functionality for BDD 
7. Integration of WhatsApp/SMS notifications for BDD - requirement gathering started
8. Functionality addition in the attendance system
9. Development of POC for Login, QR Code scanning, Visitor Management, Cargo Management, Networking modules and Admin Panel, UI improvement. Review done by ITPO.
10. Created SoW for Navigation module and submitted to ITPO for review.
</t>
  </si>
  <si>
    <t>1. Close CC modue issues as per plan
2. WA integration requirement finalization and solution exploration for BBD module
3. BRD update and revised development of the Mobile POC based on the cusotomer feedback and suggestions
4. Existing site update with video section added
5. Feedback form integration in the BDD module</t>
  </si>
  <si>
    <t>- Backend: Node.js (Java script- Nest.Js Framework)
- Frontend: Angular
- DB: MySQL</t>
  </si>
  <si>
    <t>1. The primary challenge is to meet delivery expectation with the newly added team members.</t>
  </si>
  <si>
    <t>Raghavendra P</t>
  </si>
  <si>
    <t>MMRDA BTRS</t>
  </si>
  <si>
    <t>MMRDA - BALASAHEB THAKRE RASHTRIYA SMARAK MMRDA - BALASAHEB THAKRE RASHTRIYA SMARAK MMRDA BTRS</t>
  </si>
  <si>
    <t>MMRDA - BALASAHEB THAKRE RASHTRIYA SMARAK</t>
  </si>
  <si>
    <t>18 months</t>
  </si>
  <si>
    <t>Start Date (PO) : Yet to log Order :: End Date (PO) : .</t>
  </si>
  <si>
    <t>0 L</t>
  </si>
  <si>
    <t>EPC  providing immersive experience in Gallery and Museum design with fit out and SITC of end-to-end solutions of technologies including existing systems, MEPF and O&amp;M for 1 Year
CMS Scope ( As Partner to EPC Contractor) 
SITC  of BLE5 MESH NETWORK VISITOR MANGEMENT
SITC  of ICCC PLATFORM WITH LIDAR AND BI TOOLS
SITC  of VIDEO WALL &amp; ASSOCIATED CONTROLLERS, CABLES &amp; ACCESSORIES
SITC  of COMMAND &amp; CONTROL ROOM INCLUDING CIVIL, INTERIORS, MEP SERVICES
SITC  of NETWORK, SECURITY MONITORING AND MANAGEMENT
SITC  of  SERVERS , DESKTOPS AND ASSOCIATED INFRASTRUCTURE</t>
  </si>
  <si>
    <t>We have still  not received the order and SO is not generated, as per sales - Mr. Parag the final signature is awaited from customer side.</t>
  </si>
  <si>
    <t>Once the Order is generated in our system we will ask Purchase to start taking the quotes and do negotiations along with Meeting with All identified vendors as per scope at site.</t>
  </si>
  <si>
    <t>Crisp delivery timeliness and multiple vendors to deliver the entire solution makes it complex and timely follow-up and push is needed.</t>
  </si>
  <si>
    <t>Vinod S</t>
  </si>
  <si>
    <t>EWDS O&amp;M</t>
  </si>
  <si>
    <t>National Cyclone Risk Mitigation</t>
  </si>
  <si>
    <t>National Cyclone Risk Mitigation (EWDS) O&amp;M</t>
  </si>
  <si>
    <t>2 Years (O&amp;M)</t>
  </si>
  <si>
    <t>Start Date (PO) : 25-Feb-21 :: End Date (PO) : 27-Feb-28</t>
  </si>
  <si>
    <t>O&amp;M – 618 L (1st Year 237 L &amp; 2nd Year 381 L)</t>
  </si>
  <si>
    <t>• Supply, Installation, Testing, Commissioning with O&amp;M for Statewide Early Warning Dissemination System (EWDS) for Kerala State
• Implementation at SEOC- 80 KVA UPS, Smart rack with Enterprise devices -servers, storage, switches, routers, firewall and the entire application stack. (ICCC-Trinity/EPW-Everbridge/NMS- Motadata /Contact center- Genesys).
• Implementation at EOC locations across 14 DEOC, 77 TEOC, 14 Fire Stations, 20 Matsya Bhavan and Police Head Quarter( 126 locations).</t>
  </si>
  <si>
    <t>Currently project is on O&amp;M phase and running the Second year.
O&amp;M start Date- 01-04-2024
O&amp;M End Date- 31-03-2026
O&amp;M 2 year, first two quarters bills has been cleared.
Per battery purchase cost of Rs. 9550 and asked us to deliver 200 count batteries immediately. Balance they will have requirement of 3000 batteries. 200 immediate batteries order received and remaining 2800 batteries financial approval is in progress.
Wayanad 5 new Siren requirement. Approved cost is 4 Cr and its under process for financial approval.
Commercial submitted of Alappey 5 new Siren requirement with a value of 3.15Cr. TSG conducted and it is asked the given quote is very high and needs to rework on this. We are taking a commercial concurrence on this.</t>
  </si>
  <si>
    <t xml:space="preserve">Work Order for UPS battery purchase.
Clearance of last two quarters bills
AMC renewal work order
Follow up for Wayanad 5 new Siren project order. TSG has been approved the amount of 4Cr and file is under Disaster Management Department for further financial approvals.
Commercial submission for Air Ride Siren proposal.
</t>
  </si>
  <si>
    <t>-</t>
  </si>
  <si>
    <t>Siren spare to be purchased. Currently 12 numbers Siren units are nonfunctional due to Siren board, Amplifier and DC unit issues. Request has been raised with purchase team to negotiate with vendor and place the purchase order.
Dell Servers and Storage AMC renewal.
Frequent camera issues due to water leakage. This to be negotiate with vendor and rectification should be on free of cost.
Fine tuning of Citizen portal
Replacement for the Trinity Application-KSDMA has repeatedly expressed concerns in our previous meetings regarding the Trinity application. They are not satisfied with its usability, as it is not user-friendly and requires multiple logins to complete the workflow. During our CEO visit 17th November 2025 , discussed this concern.</t>
  </si>
  <si>
    <t>Sreejith V</t>
  </si>
  <si>
    <t>Bhagalpur O&amp;M</t>
  </si>
  <si>
    <t>Bhagalpur Smart City O&amp;M (Shapoorji Pallonji)</t>
  </si>
  <si>
    <t>5 Years</t>
  </si>
  <si>
    <t>Start Date (PO) : 06-Nov-23 :: End Date (PO) : 05-Nov-28</t>
  </si>
  <si>
    <t>18.04 L</t>
  </si>
  <si>
    <t xml:space="preserve">5Years O&amp;M for 
•	ERP Solutions
•	16 Nos ATCS junctions
•	20 Nos ECB
•	25 Nos PA
•	15 Nos VMD
•	60 Nos GPS
•	ICCC Software 
-- with ITMS expert and field expert.  </t>
  </si>
  <si>
    <t xml:space="preserve">•	9/20 Qrt. billing done.  
•	ATCS, ECB, PA, VMD, GPS and VDC maintenance work going on.
•	 Quarterly PM report submitting as per the BSCL and SPCL requirement.
•	ERP solutions developing work still going on. As per the BSCL and MD instructions almost all modules development done. Some development parts still pending. Request for services module not yet done.
•	Trade license, building plans, Property Tax, Grievances, Web Portal, modules handed over to Nagar Nigam.
•	RFS module partially done. 
</t>
  </si>
  <si>
    <t xml:space="preserve">1.	Updated Property Tax data needs to be uploaded in our system. </t>
  </si>
  <si>
    <t xml:space="preserve">11.	Request for services module completion partially done by SoftTech.
2.	Bhagalpur Site Power Issues: Bhagalpur site is facing severe power fluctuation problems. UPS back-up is not available from SPCL, resulting in damage to several Traffic Controller and VMD Controller cards due to over-voltage. Proper earthing is also missing, and the HT overhead line is dangerously close to the poles. Solutions: We are currently creating earthing pits for the Traffic Controllers and poles and are planning to use AVS and surge protectors to prevent further damage.
3.	ECB Card Compatibility: The new ECB cards are not matching with the existing system. The issue needs to be checked and closed at the earliest.
4.	71K Property Tax data already uploaded but only 49K bills has been generated. Need to be generated rest bills and arrears immediately. 
</t>
  </si>
  <si>
    <t>Muzaffarpur O&amp;M</t>
  </si>
  <si>
    <t>Muzaffarpur Smart City O&amp;M (Shapoorji Pallonji)</t>
  </si>
  <si>
    <t>Start Date (PO) : 25-May-23 :: End Date (PO) : 24-May-28</t>
  </si>
  <si>
    <t>4</t>
  </si>
  <si>
    <t>17.63 L</t>
  </si>
  <si>
    <t xml:space="preserve">5Years O&amp;M for 
•	ERP Solutions
•	31 Nos ATCS Junctions
•	31 Nos ECB
•	10 Nos PA
•	31 Nos VMD
•	ICCC Software
--- with ITMS expert and filed expert.  </t>
  </si>
  <si>
    <t xml:space="preserve">
1.	11/20 Qrt. Billing done.
2.	ATCS, ECB, PA, VMD maintenance work is going on.
3.	ERP O&amp;M also going on.
4.	 ERP new module, modification work is going on.
</t>
  </si>
  <si>
    <t xml:space="preserve">1] ERP issues closing plan.
2] Maintenance work.
</t>
  </si>
  <si>
    <t xml:space="preserve">SoftTech is not providing adequate support for ERP modifications. Immediate management intervention is required to resolve this issue.
ECB Board Issue. 
</t>
  </si>
  <si>
    <t>DVC O&amp;M</t>
  </si>
  <si>
    <t>Damodar Valley Corporation</t>
  </si>
  <si>
    <t>Damodar Valley Corporation O&amp;M</t>
  </si>
  <si>
    <t>Start Date (PO) : 01-Feb-24 :: End Date (PO) : 31-Jan-29</t>
  </si>
  <si>
    <t>14.2 L Quarterly (AMC- 7.2 L/Qtr, Data Collection- 7 L/Qtr) &amp;  Audit- 3.2 L/Yr</t>
  </si>
  <si>
    <t xml:space="preserve">•	5 Years O&amp;M support including 24X7 DC support and with proper adequate manpower support in field for 48 Substations and Power plants. 
•	Any Changes in S/w, reports, screen without extra cost as per PO and need to be added other OEM meters in the same T&amp;C. </t>
  </si>
  <si>
    <t xml:space="preserve">1.	8 Qtr. O&amp;M support done and 8 Qtr. billing done.
2.	Out of 8 Qtr.,7 Qtr. Payment received.
3.	Meter rectification work going on at the substations.
4.	CERTIN Audit partially done. Pending for Lease line not available from DVC end and they are arranging.
</t>
  </si>
  <si>
    <t xml:space="preserve">CERTIN audit completion.
Meter rectification
</t>
  </si>
  <si>
    <t xml:space="preserve">2–3 blocks (out of 96) are missing daily because we are required to restart the meters twice a day.
DVC is extracting raw data from our server through API for their internal services. We need to continue providing necessary API/service support as per the PO terms and conditions.
Approx 50 Nos. EDMI Meter found faulty. Bar Code showing and block data missing.
Out of 706 EDMI meters, 50 units are frequently found faulty. These need to be either repaired by EDMI or replaced (by EDMI or another make). It is becoming very difficult to maintain service levels without LD implications. Immediate management support is required.
Around 60 out of the remaining 644 meters are facing TTL card issues. Our team is continuously replacing TTL cards to keep the system functional.
</t>
  </si>
  <si>
    <t>Daman SC</t>
  </si>
  <si>
    <t>Daman Smart City</t>
  </si>
  <si>
    <t>1.Construction of Foundation and Installation of Straight Pole and Cantilever Pole work done at Rajiv Gandhi Junction
2. Ducting and Cable Laying work done at Rajiv Gandhi Junction
3. Installation of Aspects on straight pole and cantilever pole done at Rajiv Gandhi Junction
4.Ducting work done at Dholar junction
5.Construction of foundation for straight pole and cantilever pole work done
6.Teenbatti Junction ducting Work done
7.Dhobi Talav Junction ducting work done</t>
  </si>
  <si>
    <t>1.Ducting work in progress at three junction
2. Need Straight Pole and Cantilever pole for installation work at Dholar Junction</t>
  </si>
  <si>
    <t xml:space="preserve">Straight pole and cantilever pole
1.Need Delivery Date for Straight pole and Cantilever Pole from M/s Transrail for Installation at Dholar Junction because foundation work has been completed
Supply and Installation of Solar Panel Unit all Accessories With Pale
2. PR Enterprise is supporting for the Supply and Installation of Battery, Inverter with pole and foundation need to find out the other vendor, once we received Rajiv Gandhi Junction Solar Panel work will be completed
</t>
  </si>
  <si>
    <t>Rahul Pol</t>
  </si>
  <si>
    <t>NIRBHAYA VMD</t>
  </si>
  <si>
    <t>Nirbhaya VMD</t>
  </si>
  <si>
    <t>•	Nirbhaya Safe City - Variable Messaging Displays (Digital Billboards) for Commissioner of Police – Mumbai 
•	2 VMD’s to be installed in MMP Region .</t>
  </si>
  <si>
    <t>This is struck due to permission clearance and no further development.</t>
  </si>
  <si>
    <t>Permission clearance.</t>
  </si>
  <si>
    <t>Vinod S / Anil H</t>
  </si>
  <si>
    <t>IFSCA</t>
  </si>
  <si>
    <t>International Financial Services Centres Authority (IFSCA) International Financial Services Centres Authority (IFSCA)</t>
  </si>
  <si>
    <t>International Financial Services Centres Authority (IFSCA)</t>
  </si>
  <si>
    <t>6 Yrs (1Yr Proj + 3 month stabilization + 9 month Warr + 4 Yr AMC)</t>
  </si>
  <si>
    <t>-&gt; 3 Month - Requirement (5%);
-&gt; 4 month - Documentation - BRD, FRS, SRS (5%);
-&gt; 12 month - Development &amp; integration (5%); Data Migration (5%); Deployment (5%); Testing - SIT &amp; UAT (5%); Implementation (5%); Training (5%); Go-Live (5%);
-&gt; 24 month - Stabilization &amp; Warr (5%);
-&gt; 72 month - Support &amp; Maintenance - 16 Qtr (50%)</t>
  </si>
  <si>
    <t>Start Date (PO) : 13-Nov-25 :: End Date (PO) : 12-Nov-31</t>
  </si>
  <si>
    <t>30</t>
  </si>
  <si>
    <t>As per achievement : First milestone is 82 L</t>
  </si>
  <si>
    <t>Design, development, testing, deployment &amp; maintenance of integrated ERP covering:
• HRMS
• Payroll
• Finance &amp; Accounts
• Admin
• Mobile App
• Integration with existing systems (Biometric, e-Office, NIC Infra)
• Hosting on NIC/MeghRaj 2.0 cloud
• Security Audits (CERT-IN, VAPT)
• 9-Month Warranty + 4-Year AMC Support
• Onsite manpower (5 during implementation, 9 during AMC)
• Compliance with RFP, Corrigendum &amp; NIC guidelines</t>
  </si>
  <si>
    <t xml:space="preserve">Overall status is on track/Slightly delayed.
Environment &amp; Project Setup – Completed   
Frontend and Backend foundational setup completed, including project structure, dependency configuration, and environment setup. 
Backend Core Framework – Completed 
Core libraries and reusable components for the microservices ecosystem have been implemented, enabling standardized and efficient development across modules. 
Pre-Registration &amp; Employee Onboarding – In Progress 
Key functionalities are under active development, aligned with defined business workflows and requirements. 
Office Order Module – In Progress 
Development is ongoing, focusing on core features and workflow integration. 
Bonafide Module – In Progress 
Sub-module development is underway with initial use cases being implemented. 
Payroll Module – In Progress 
Development has commenced, with foundational components currently being built. 
Finance Module Integration – Initiated 
Integration discussions have been initiated, and approach alignment is in progress with relevant stakeholders.
Selenium Automation Java Testing framework design completed.
Test case preparation is in WIP based on extended FRS.
Figma Validation in WIP.
All Bespoke wireframe submitted, Feedback incorporated
Clickable Proto type Submitted for Bespoke wireframe
Final UI design is in WIP. Employee on boarding and office order completed 
GIGW Guidelines finalized from CMS side, Approval pending from IFSCA.
Dashboard and log in page has been designed and finalised from CMS. 1st round of review done by IFSCA , Final sign off YTD.
Granular level review are WIP for all fields by BA
UI Screen design will be presented.
Extended FRS submitted .
SRS Submitted and Its under review
Consolidated BRD submitted and its under review
Technical Architecture Design document submitted
TAD document feedback regarding software details submitted.
Project Plan submitted and waiting for sign off.
 Infrastructure 
 Development Environment (AWS) – Completed 
 AWS infrastructure for the Development environment has been successfully provisioned. 
 Test &amp; UAT Environment – Sizing Completed
 Infrastructure sizing and capacity planning for Test and UAT environments have been finalized and shared with the IFSCA. 
 Database Design
 Schema Design – In Progress
 Database schemas have been designed and finalized for the following modules: 
Pre-Registration 
Employee Onboarding 
Office Order 
Bonafide 
Authentication (Auth) 
Notification 
</t>
  </si>
  <si>
    <t xml:space="preserve">Sign off to be secured on milestone 1 and 2. Development to expedite for sprint 1.UI and UX design to be expedited for Sprint 1 Development work. Follow up to be done on IFSCA for infra set up for testing. Jira License to be in place </t>
  </si>
  <si>
    <t>Spring Boot, Odoo, React JS, Apache, PostgreSQL, Postman, Moodle, Figma, Ubuntu, NIC Cloud, Flutter, Node JS</t>
  </si>
  <si>
    <t>Scope change on documentation in last hour. Resource on boarding.</t>
  </si>
  <si>
    <t>Vinod S / TBH</t>
  </si>
  <si>
    <t>IVFRT</t>
  </si>
  <si>
    <t>IMMIGRATION VISA FOREIGNER REGISTRATION TRACKING IVFRT IMMIGRATION VISA FOREIGNER REGISTRATION TRACKING IVFRT IMMIGRATION VISA FOREIGNER REGISTRATION TRACKING IVFRT</t>
  </si>
  <si>
    <t>IMMIGRATION VISA FOREIGNER REGISTRATION TRACKING -- IVFRT</t>
  </si>
  <si>
    <t>FMS</t>
  </si>
  <si>
    <t>Start Date (PO) : 20-Jun-24 :: End Date (PO) : 19-Jun-27</t>
  </si>
  <si>
    <t>22.47 L</t>
  </si>
  <si>
    <t>•24x7 Security &amp; Network Operations for Immigration Check Posts.
•SOC Tasks: Log aggregation, event correlation, threat detection, Incident alerting, response, and reporting, Use of SIEM tools and global threat intelligence.
•NOC Tasks: Networkuptime, firewall &amp; IPS management, Monitoring via Micro focus tools ( NNMi, OBM, Site Scope, etc.),Asset lifecycle and compliance tracking.
•Resources : L1 Analyst : 5(SOC) + 5(NOC), L2 Engineer : 3(SOC) + 3(NOC), SOC/NOC Manager : 1, Administrator : 1
•18 resources in rotational shifts &amp; Dual-role staff for both SOC &amp; NOC.
•SLAs: Alerts: 30–60 Minsbased on priority, Incident response: 60–120 Mins, Root cause reports: 72–120 hours.
•Penalties: For delayed deployment, absence, or unqualified staff.</t>
  </si>
  <si>
    <t>VIJAY M</t>
  </si>
  <si>
    <t>Bhavnagar Municipal Corporation</t>
  </si>
  <si>
    <t>Bhavnagar Munciple Corporation Bhavnagar Munciple Corporation Bhavnagar Munciple Corporation</t>
  </si>
  <si>
    <t>Bhavnagar Muncipal Corporation</t>
  </si>
  <si>
    <t>4 months + O&amp;M 5 Yr</t>
  </si>
  <si>
    <t>80% Capex on SITC
20% Capex after system stabilization (post Go-Live 2 months)
5% of CAMC amount/Qtr for 20 Qtrs.</t>
  </si>
  <si>
    <t>Start Date (PO) : 15-Jan-26 :: End Date (PO) : 14-May-26</t>
  </si>
  <si>
    <t xml:space="preserve">Project coordinator and civil eng deployment done </t>
  </si>
  <si>
    <t>514 L (411 L ~80%)</t>
  </si>
  <si>
    <t>Supply, Installation, Testing &amp; commissioning (SITC) of 
•Outdoor Digital Display - 15 Nos. with all accessories
•PAS System - 15 Nos. with all accessories
•Content Management System - 1 Nos.
•System Stabilization of 2 months post Go-Live.
•5 Years CAMC of installed solution</t>
  </si>
  <si>
    <t>BG submission done
Project survey done
9 no location approved by Client
Civil vendor finalization done
Material procurements under process
Warehouse finalization done
8 no of pole foundation work done</t>
  </si>
  <si>
    <t>1.Civil activity
2.Material follows with Purchase team
3.Balance 7 no location finalization with Client</t>
  </si>
  <si>
    <t>ED material delivery
LED Pole and structure
LED consumable Item delivery
7 no Location finalization pending with Client</t>
  </si>
  <si>
    <t>KDMC 3 New Traffic signals</t>
  </si>
  <si>
    <t>KDMC 3 New Traffic signals KDMC 3 New Traffic signals KDMC 3 New Traffic signals</t>
  </si>
  <si>
    <t>Kalyan Dombivali Muncipal Corporation - 3 New Traffic signals</t>
  </si>
  <si>
    <t>6 months + O&amp;M 5 Yr</t>
  </si>
  <si>
    <t>Start Date (PO) : 15-Dec-25 :: End Date (PO) : 14-Jun-26</t>
  </si>
  <si>
    <t>Supply, Installation, Testing &amp; commissioning (SITC) of Traffic signals with accessories at
•Mangal Road 100 feet chowk
•SK Patil chowk
•Kopar Bridge chowk
-&gt;5 Years CAMC of installed solution</t>
  </si>
  <si>
    <t>Pit work for one junction at Dom. done, but local corporator asked to backfill the same and get him the Town Planning confirmation on road widening, KDMC officials are working on same - post permission to start the work we will do foundation work at SKpatil junction and Kopar bridge.</t>
  </si>
  <si>
    <t>Foundation at two junctions in dombivli.</t>
  </si>
  <si>
    <t>Permission and local corporators to be managed.</t>
  </si>
  <si>
    <t>NLC GHATAMPUR</t>
  </si>
  <si>
    <t>NLC GHATAMPUR NLC GHATAMPUR NLC GHATAMPUR Neyveli Uttarpradesh Power Limited Neyveli Uttarpradesh Power Limited</t>
  </si>
  <si>
    <t>Neyveli Uttarpradesh Power Limited -- GHATAMPUR</t>
  </si>
  <si>
    <t>6 months + 3 months (Defect liability period)</t>
  </si>
  <si>
    <t>Start Date (PO) : 22-Jan-26 :: End Date (PO) : 21-Jun-26</t>
  </si>
  <si>
    <t>Integration of 24 Nos ABT Meters and AGC Signals into the existing ABT Monitoring System at NLC Ghatampur which includes
1. Supply and installation of Gridlogik Software Logger (for both DLMS mode &amp; Modbus mode) in the existing ABT Server. 
2. Supply and upgradation of Windows Server OS 2025 with lifetime license in the existing ABT Server. 
3. Configuration of Converter and Switches necessary for integration of 24Nos Secure APEX 150 ABT Meter in the existing ABT Server. 
4. Integration of 4-20mA to Mobus Converter to the existing ABT Server for taking Delta P signal of 3 Units from the AGC Panel. 
5. Preparation of reports &amp; HMI as per the latest DSM regulations.</t>
  </si>
  <si>
    <t xml:space="preserve">•	A total of 8 ABT meters have been successfully integrated into the system database, reporting modules, and monitoring interfaces for Unit-3.
•	Unit-3 specific monitoring screens, including block-wise visualization screens, have been developed and configured in line with the project requirements.
•	Existing reporting templates have been suitably modified and aligned with Unit-3 metering configuration and data structure.
•	All necessary calculation logics and formulas have been reviewed, validated, and updated across both monitoring screens and reporting modules.
•	The currently available meters have been fully commissioned in the ABT application environment as per the defined project scope.
</t>
  </si>
  <si>
    <t>Completion of pending meter integration subject to clearance from NLC</t>
  </si>
  <si>
    <t>Software task in CMS scope is dependent upon site readiness from NLC which is pending from so long.</t>
  </si>
  <si>
    <t>NADIAD MUNICIPAL CORPORATION</t>
  </si>
  <si>
    <t xml:space="preserve">NADIAD MUNICIPAL CORPORATION NADIAD MUNICIPAL CORPORATION NADIAD MUNICIPAL CORPORATION </t>
  </si>
  <si>
    <t>12 months + O&amp;M 5 Yr</t>
  </si>
  <si>
    <t>•Milestone 1  : Supply of material : 65% : 257.67 L 
•Milestone 2 : Erection of Equipments : 25% : 99.10 L
•Milestone 3: Commissioning of equipments : 5% : 19.82 L
•Milestone 4: Satisfactory running of system : 5% : 19.82 L
•Milestone 5 : Civil item - after completion of schedule B : 100% : 21.07 L</t>
  </si>
  <si>
    <t>Start Date (PO) : 29-Jan-26 :: End Date (PO) : 28-Jan-32</t>
  </si>
  <si>
    <t>one filed person and Vadodara share resource</t>
  </si>
  <si>
    <t>Milestone 1 : 257.67 l</t>
  </si>
  <si>
    <t>SITC of ATCS Based Traffic Signal at junctions under Nadiad Municipal Corporation:
1. 5 Junctions - Santram Mandir,  B/H Mahanagarpalika, Kamla Chokdi, Ganpati Mandir Char Rasta &amp;  Santana Chokdi.
2. Upgradation of 1 existing junction.
3. ATCS Software
4. Application Server With Database For ATCS Software
5. 60 Months O&amp;M</t>
  </si>
  <si>
    <t>1.Make Model document submitted for approval
2. Man power deployment done
3. Agreement submitted
4. 6 no junction survey done
5. Material delivery approval received
6. PBG submission</t>
  </si>
  <si>
    <t>1.Civil activity- approval with Client 
2.Material follows up with purchase</t>
  </si>
  <si>
    <t>Material delivery mostly CL pole and Traffic light
Digging permission not received from client end</t>
  </si>
  <si>
    <t>SACHIN R</t>
  </si>
  <si>
    <t>NeGD IEPFA</t>
  </si>
  <si>
    <t>NATIONAL E-GOVERNANCE DIV - INVESTOR EDUCATION &amp; PROTECTION FUND AUTHORITY NATIONAL E-GOVERNANCE DIV - INVESTOR EDUCATION &amp; PROTECTION FUND AUTHORITY NATIONAL E-GOVERNANCE DIV - INVESTOR EDUCATION &amp; PROTECTION FUND AUTHORITY</t>
  </si>
  <si>
    <t>NATIONAL E-GOVERNANCE DIV - INVESTOR EDUCATION &amp; PROTECTION FUND AUTHORITY</t>
  </si>
  <si>
    <t>Start Date (PO) : 10-Mar-26 :: End Date (PO) : 09-Mar-28</t>
  </si>
  <si>
    <t xml:space="preserve">16 </t>
  </si>
  <si>
    <t>38.85 L</t>
  </si>
  <si>
    <t>Hiring of 19 Professionals to —
Handle the development, enhancement, integration, testing, deployment, and operational support of the Investor Education and Protection Fund Authority (IEPFA) Portal modernisation project under NeGD.
Primarily the services would range from requirement analysis, system design, application development, AI/ML analytics, DevOps support, security compliance, testing, and helpdesk operations, along with project management and stakeholder coordination for day-to-day operational activities of the platform.
– For 24 months &amp; extendable for 1 yr based on project requirement.
Resources :
• Full Stack Developers – 4 Resources
• Helpdesk / Support Executives – 2 Resources
• Project Manager, Business Analyst, Technical Lead, Technical Architect, UI/UX Designer, Database Administrator, Data Analyst, AI / ML Developer, Mobile Application Developer, DevOps Engineer, Quality Assurance Engineer, Security &amp; Infrastructure Specialist, Senior Domain Expert – 1 Resource each
→ Annual increment of up to 10% in man month work order cost every year in accordance with the performance of resource</t>
  </si>
  <si>
    <t xml:space="preserve">-&gt; Currently 16 resources have joined and onboarded and only one resource has been left i.e. Domain Expert.   
-&gt; 2 positions are on hold i.e. one Full stack and one Data Analyst
-&gt; We have started BRD's and requirement gathering. 
-&gt; 2 Claude Max license, 1 Figma Organization License and MS Teams access has been provided by NeGD. </t>
  </si>
  <si>
    <t>-&gt; Complete &amp; take signoff on initial four BRDs from IEPFA. 
-&gt; Integrate our microservices pattern in AWS cloud that will be given by NeGD.
-&gt; Submission of Background verification report for resources (follow-up with CMS HR)</t>
  </si>
  <si>
    <t>- Backend: Node.js
- Frontend: React
- mobile: React Native</t>
  </si>
  <si>
    <t>-&gt; KT documents, VPN access, Code and Database structure from LTM for IEPFA portal is not received yet.
-&gt; NeGD is pressurizing us for Go-Live in September 2026. Which is highly difficult to achieve &amp; highly optimistic timeline. The same is reported to CMS management via email.</t>
  </si>
  <si>
    <t>SAHIL S</t>
  </si>
  <si>
    <t>NHAI DashCam</t>
  </si>
  <si>
    <t>NATIONAL HIGHWAY AUTHORITY OF INDIA DASHCAM NATIONAL HIGHWAY AUTHORITY OF INDIA DASHCAM NATIONAL HIGHWAY AUTHORITY OF INDIA DASHCAM</t>
  </si>
  <si>
    <t>NATIONAL HIGHWAY AUTHORITY OF INDIA DASHCAM</t>
  </si>
  <si>
    <t>Start Date (PO) : 20-Mar-26 :: End Date (PO) : 19-Mar-28</t>
  </si>
  <si>
    <t>BILLING PLAN NEEDS TO CONFIRM</t>
  </si>
  <si>
    <t>Deploy Dashcam + AI/ML-based analytics system for monitoring National Highway conditions (defects, encroachments, safety issues).
•Weekly video surveys + AI-based defect detection reports
•Dashboards, analytics platform, API integration with NHAI systems
•Cloud-hosted system (99.99% uptime), data storage &amp; backup (3 months)
•Final data + source code handover at project closure
•Survey frequency : Weekly surveys (≈52 per year per stretch)
•Report submission within 3 working days after each survey</t>
  </si>
  <si>
    <t>SACHIN S / TBD</t>
  </si>
  <si>
    <t>NeGD UPMS</t>
  </si>
  <si>
    <t xml:space="preserve">Unified (R&amp;D) Project Management System (UPMS) in NeGD Unified (R&amp;D) Project Management System (UPMS) in NeGD Unified (R&amp;D) Project Management System (UPMS) in NeGD </t>
  </si>
  <si>
    <t xml:space="preserve">Unified (R&amp;D) Project Management System (UPMS) in NeGD </t>
  </si>
  <si>
    <t>Start Date (PO) : 13-Apr-26 :: End Date (PO) : 12-Apr-29</t>
  </si>
  <si>
    <t>35.12 L</t>
  </si>
  <si>
    <t>Develop a Unified Project (R&amp;D) Management System (UPMS), initiated by NITI Aayog and implemented by MeitY through NeGD
•Requirement analysis, system design, and development of a secure, scalable UPMS application. Integration with external systems, dashboards, and reporting modules; ensuring data security and compliance.
•Testing, deployment, onboarding, training, and post-deployment support.
•Project duration: 3 years (Development → Stabilization → O&amp;M)
•Strict onboarding compliance: NDA signing, background verification, and client approval mandatory before deployment
Resources to be deployed—
•PM, Cloud Architect, DevOps – 1 resource each
•BA, UI/UX, Frontend Dev, Backend Dev, QA, Data Analyst – 2 resource each
•Onboarding BA – 6 resource each</t>
  </si>
  <si>
    <t>TBH</t>
  </si>
  <si>
    <t>Design, Supply, Installation, Testing and Commissioning of web based enterprise energy and utility Management system with five years of Comprehensive Annual Maintenance Contract (CAMC)
a) Complete built in energy monitoring system including power distribution monitoring of electrical &amp; utility energy &amp; consumption monitoring viz boundary level, process level and specific identified key areas.
b) Demand management system that covers demand forecasting, scheduling and deviation monitoring w.r.t the schedule drawl
c) Energy billing system that coverers consumer’s energy monitoring and billing
-&gt;&gt;Functional Requirements/ Deliverables :  DATA ACQUISITION SYSTEM // DATA MANAGEMENT SYSTEM // DEMAND FORECASTING MODULE // Deviation Settlement Mechanism Module //Demand Management Module // Utility Billing Module – Electricity, Water &amp; Rental
-&gt;&gt;Infrastructure Requirements: Server // Cloud Service (IaaS) // OS // DB // Networking</t>
  </si>
  <si>
    <t>-&gt;N/A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</si>
</sst>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 &quot;₹&quot;\ * #,##0_ ;_ &quot;₹&quot;\ * \-#,##0_ ;_ &quot;₹&quot;\ * &quot;-&quot;??_ ;_ @_ "/>
    <numFmt numFmtId="165" formatCode="[$-409]dd/mmm/yy;@"/>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u/>
      <sz val="11"/>
      <color theme="10"/>
      <name val="Aptos Narrow"/>
      <family val="2"/>
      <scheme val="minor"/>
    </font>
    <font>
      <sz val="11"/>
      <color rgb="FF000000"/>
      <name val="Aptos Narrow"/>
      <family val="2"/>
    </font>
  </fonts>
  <fills count="3">
    <fill>
      <patternFill patternType="none"/>
    </fill>
    <fill>
      <patternFill patternType="gray125"/>
    </fill>
    <fill>
      <patternFill patternType="solid">
        <fgColor theme="6"/>
        <bgColor theme="6"/>
      </patternFill>
    </fill>
  </fills>
  <borders count="7">
    <border>
      <left/>
      <right/>
      <top/>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style="thin">
        <color theme="6"/>
      </bottom>
      <diagonal/>
    </border>
    <border>
      <left/>
      <right/>
      <top style="thin">
        <color theme="6"/>
      </top>
      <bottom style="thin">
        <color theme="6"/>
      </bottom>
      <diagonal/>
    </border>
    <border>
      <left/>
      <right style="thin">
        <color theme="6"/>
      </right>
      <top style="thin">
        <color theme="6"/>
      </top>
      <bottom style="thin">
        <color theme="6"/>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32">
    <xf numFmtId="0" fontId="0" fillId="0" borderId="0" xfId="0"/>
    <xf numFmtId="0" fontId="2" fillId="2" borderId="1" xfId="0" applyFont="1" applyFill="1" applyBorder="1"/>
    <xf numFmtId="0" fontId="2" fillId="2" borderId="2" xfId="0" applyFont="1" applyFill="1" applyBorder="1"/>
    <xf numFmtId="164" fontId="2" fillId="2" borderId="2" xfId="1" applyNumberFormat="1" applyFont="1" applyFill="1" applyBorder="1"/>
    <xf numFmtId="0" fontId="2" fillId="2" borderId="3" xfId="0" applyFont="1" applyFill="1" applyBorder="1"/>
    <xf numFmtId="0" fontId="0" fillId="0" borderId="1" xfId="0" applyBorder="1"/>
    <xf numFmtId="0" fontId="3" fillId="0" borderId="2" xfId="3" applyBorder="1"/>
    <xf numFmtId="0" fontId="0" fillId="0" borderId="2" xfId="0" applyBorder="1"/>
    <xf numFmtId="164" fontId="0" fillId="0" borderId="2" xfId="1" applyNumberFormat="1" applyFont="1" applyBorder="1"/>
    <xf numFmtId="164" fontId="0" fillId="0" borderId="2" xfId="0" applyNumberFormat="1" applyBorder="1"/>
    <xf numFmtId="9" fontId="0" fillId="0" borderId="2" xfId="2" applyFont="1" applyBorder="1"/>
    <xf numFmtId="0" fontId="4" fillId="0" borderId="2" xfId="1" applyNumberFormat="1" applyFont="1" applyBorder="1"/>
    <xf numFmtId="165" fontId="4" fillId="0" borderId="2" xfId="1" applyNumberFormat="1" applyFont="1" applyBorder="1"/>
    <xf numFmtId="9" fontId="4" fillId="0" borderId="2" xfId="2" applyFont="1" applyBorder="1"/>
    <xf numFmtId="44" fontId="4" fillId="0" borderId="2" xfId="1" applyFont="1" applyBorder="1"/>
    <xf numFmtId="44" fontId="4" fillId="0" borderId="3" xfId="1" applyFont="1" applyBorder="1"/>
    <xf numFmtId="0" fontId="4" fillId="0" borderId="2" xfId="1" applyNumberFormat="1" applyFont="1" applyBorder="1" applyAlignment="1"/>
    <xf numFmtId="0" fontId="0" fillId="0" borderId="2" xfId="1" applyNumberFormat="1" applyFont="1" applyBorder="1"/>
    <xf numFmtId="164" fontId="0" fillId="0" borderId="2" xfId="1" applyNumberFormat="1" applyFont="1" applyBorder="1" applyAlignment="1"/>
    <xf numFmtId="0" fontId="0" fillId="0" borderId="4" xfId="0" applyBorder="1"/>
    <xf numFmtId="0" fontId="0" fillId="0" borderId="5" xfId="0" applyBorder="1"/>
    <xf numFmtId="0" fontId="3" fillId="0" borderId="5" xfId="3" applyBorder="1"/>
    <xf numFmtId="164" fontId="0" fillId="0" borderId="5" xfId="1" applyNumberFormat="1" applyFont="1" applyBorder="1"/>
    <xf numFmtId="164" fontId="0" fillId="0" borderId="5" xfId="0" applyNumberFormat="1" applyBorder="1"/>
    <xf numFmtId="9" fontId="0" fillId="0" borderId="5" xfId="2" applyFont="1" applyBorder="1"/>
    <xf numFmtId="0" fontId="4" fillId="0" borderId="5" xfId="1" applyNumberFormat="1" applyFont="1" applyBorder="1"/>
    <xf numFmtId="0" fontId="4" fillId="0" borderId="5" xfId="1" applyNumberFormat="1" applyFont="1" applyBorder="1" applyAlignment="1"/>
    <xf numFmtId="165" fontId="4" fillId="0" borderId="5" xfId="1" applyNumberFormat="1" applyFont="1" applyBorder="1"/>
    <xf numFmtId="9" fontId="4" fillId="0" borderId="5" xfId="2" applyFont="1" applyBorder="1"/>
    <xf numFmtId="44" fontId="4" fillId="0" borderId="5" xfId="1" applyFont="1" applyBorder="1"/>
    <xf numFmtId="44" fontId="4" fillId="0" borderId="6" xfId="1" applyFont="1" applyBorder="1"/>
    <xf numFmtId="0" fontId="4" fillId="0" borderId="2" xfId="1" applyNumberFormat="1" applyFont="1" applyBorder="1" applyAlignment="1">
      <alignment wrapText="1"/>
    </xf>
  </cellXfs>
  <cellStyles count="4">
    <cellStyle name="Currency" xfId="1" builtinId="4"/>
    <cellStyle name="Hyperlink" xfId="3" builtinId="8"/>
    <cellStyle name="Normal" xfId="0" builtinId="0"/>
    <cellStyle name="Percent" xfId="2" builtinId="5"/>
  </cellStyles>
  <dxfs count="0"/>
  <tableStyles count="1" defaultTableStyle="TableStyleMedium2" defaultPivotStyle="PivotStyleLight16">
    <tableStyle name="Invisible" pivot="0" table="0" count="0" xr9:uid="{D655A418-3243-4F12-BFB0-2304E23878A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C4CF9-9491-4D34-A799-E6605163172D}">
  <dimension ref="A1:AD37"/>
  <sheetViews>
    <sheetView tabSelected="1" workbookViewId="0">
      <selection sqref="A1:AD37"/>
    </sheetView>
  </sheetViews>
  <sheetFormatPr defaultRowHeight="15" x14ac:dyDescent="0.25"/>
  <sheetData>
    <row r="1" spans="1:30" x14ac:dyDescent="0.25">
      <c r="A1" s="1" t="s">
        <v>0</v>
      </c>
      <c r="B1" s="2" t="s">
        <v>1</v>
      </c>
      <c r="C1" s="2" t="s">
        <v>2</v>
      </c>
      <c r="D1" s="2" t="s">
        <v>3</v>
      </c>
      <c r="E1" s="2" t="s">
        <v>4</v>
      </c>
      <c r="F1" s="2" t="s">
        <v>5</v>
      </c>
      <c r="G1" s="3"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4" t="s">
        <v>29</v>
      </c>
    </row>
    <row r="2" spans="1:30" x14ac:dyDescent="0.25">
      <c r="A2" s="5">
        <v>1</v>
      </c>
      <c r="B2" s="6" t="s">
        <v>30</v>
      </c>
      <c r="C2" s="7" t="s">
        <v>31</v>
      </c>
      <c r="D2" s="7" t="s">
        <v>30</v>
      </c>
      <c r="E2" s="7" t="s">
        <v>32</v>
      </c>
      <c r="F2" s="7" t="s">
        <v>33</v>
      </c>
      <c r="G2" s="8">
        <v>840.24454680000008</v>
      </c>
      <c r="H2" s="8">
        <v>750.82103710000081</v>
      </c>
      <c r="I2" s="8">
        <v>23</v>
      </c>
      <c r="J2" s="8">
        <v>773.82103710000081</v>
      </c>
      <c r="K2" s="8">
        <v>28.000000000000004</v>
      </c>
      <c r="L2" s="9">
        <v>89.423509699999272</v>
      </c>
      <c r="M2" s="8">
        <v>23.340126300000005</v>
      </c>
      <c r="N2" s="8">
        <v>23.340126300000005</v>
      </c>
      <c r="O2" s="8" t="s">
        <v>34</v>
      </c>
      <c r="P2" s="10">
        <v>0.89357442420714173</v>
      </c>
      <c r="Q2" s="11" t="s">
        <v>35</v>
      </c>
      <c r="R2" s="11" t="s">
        <v>36</v>
      </c>
      <c r="S2" s="11" t="s">
        <v>37</v>
      </c>
      <c r="T2" s="11" t="s">
        <v>38</v>
      </c>
      <c r="U2" s="11" t="s">
        <v>39</v>
      </c>
      <c r="V2" s="11" t="s">
        <v>40</v>
      </c>
      <c r="W2" s="11" t="s">
        <v>41</v>
      </c>
      <c r="X2" s="11" t="s">
        <v>42</v>
      </c>
      <c r="Y2" s="11" t="s">
        <v>43</v>
      </c>
      <c r="Z2" s="12">
        <v>46142</v>
      </c>
      <c r="AA2" s="13">
        <v>0.48492421464871305</v>
      </c>
      <c r="AB2" s="13">
        <v>0.4323402397342212</v>
      </c>
      <c r="AC2" s="14" t="s">
        <v>31</v>
      </c>
      <c r="AD2" s="15" t="s">
        <v>44</v>
      </c>
    </row>
    <row r="3" spans="1:30" x14ac:dyDescent="0.25">
      <c r="A3" s="5">
        <v>2</v>
      </c>
      <c r="B3" s="6" t="s">
        <v>45</v>
      </c>
      <c r="C3" s="7" t="s">
        <v>46</v>
      </c>
      <c r="D3" s="7" t="s">
        <v>47</v>
      </c>
      <c r="E3" s="7" t="s">
        <v>32</v>
      </c>
      <c r="F3" s="7" t="s">
        <v>33</v>
      </c>
      <c r="G3" s="8">
        <v>1440.002</v>
      </c>
      <c r="H3" s="8">
        <v>1023.699194</v>
      </c>
      <c r="I3" s="8">
        <v>45</v>
      </c>
      <c r="J3" s="8">
        <v>1068.699194</v>
      </c>
      <c r="K3" s="8">
        <v>16</v>
      </c>
      <c r="L3" s="9">
        <v>416.30280599999992</v>
      </c>
      <c r="M3" s="8">
        <v>45.0625</v>
      </c>
      <c r="N3" s="8">
        <v>45.0625</v>
      </c>
      <c r="O3" s="8" t="s">
        <v>34</v>
      </c>
      <c r="P3" s="10">
        <v>0.71090123069273514</v>
      </c>
      <c r="Q3" s="11" t="s">
        <v>35</v>
      </c>
      <c r="R3" s="11" t="s">
        <v>48</v>
      </c>
      <c r="S3" s="11" t="s">
        <v>49</v>
      </c>
      <c r="T3" s="11" t="s">
        <v>50</v>
      </c>
      <c r="U3" s="11" t="s">
        <v>51</v>
      </c>
      <c r="V3" s="11" t="s">
        <v>52</v>
      </c>
      <c r="W3" s="11" t="s">
        <v>53</v>
      </c>
      <c r="X3" s="11" t="s">
        <v>54</v>
      </c>
      <c r="Y3" s="11" t="s">
        <v>55</v>
      </c>
      <c r="Z3" s="12">
        <v>46142</v>
      </c>
      <c r="AA3" s="13">
        <v>0.26090761696895148</v>
      </c>
      <c r="AB3" s="13">
        <v>0.19000000008625473</v>
      </c>
      <c r="AC3" s="14" t="s">
        <v>46</v>
      </c>
      <c r="AD3" s="15" t="s">
        <v>56</v>
      </c>
    </row>
    <row r="4" spans="1:30" x14ac:dyDescent="0.25">
      <c r="A4" s="5">
        <v>3</v>
      </c>
      <c r="B4" s="6" t="s">
        <v>57</v>
      </c>
      <c r="C4" s="7" t="s">
        <v>58</v>
      </c>
      <c r="D4" s="7" t="s">
        <v>59</v>
      </c>
      <c r="E4" s="7" t="s">
        <v>32</v>
      </c>
      <c r="F4" s="7" t="s">
        <v>33</v>
      </c>
      <c r="G4" s="8">
        <v>849.8214484745763</v>
      </c>
      <c r="H4" s="8">
        <v>602.12773190000007</v>
      </c>
      <c r="I4" s="8">
        <v>100</v>
      </c>
      <c r="J4" s="8">
        <v>702.12773190000007</v>
      </c>
      <c r="K4" s="8">
        <v>1</v>
      </c>
      <c r="L4" s="9">
        <v>247.69371657457623</v>
      </c>
      <c r="M4" s="8">
        <v>33.904296500000001</v>
      </c>
      <c r="N4" s="8">
        <v>33.904296500000001</v>
      </c>
      <c r="O4" s="8" t="s">
        <v>60</v>
      </c>
      <c r="P4" s="10">
        <v>0.70853440211566232</v>
      </c>
      <c r="Q4" s="11" t="s">
        <v>35</v>
      </c>
      <c r="R4" s="11" t="s">
        <v>61</v>
      </c>
      <c r="S4" s="11" t="s">
        <v>62</v>
      </c>
      <c r="T4" s="11" t="s">
        <v>63</v>
      </c>
      <c r="U4" s="11" t="s">
        <v>64</v>
      </c>
      <c r="V4" s="11" t="s">
        <v>65</v>
      </c>
      <c r="W4" s="11" t="s">
        <v>66</v>
      </c>
      <c r="X4" s="11" t="s">
        <v>67</v>
      </c>
      <c r="Y4" s="11" t="s">
        <v>68</v>
      </c>
      <c r="Z4" s="12">
        <v>46142</v>
      </c>
      <c r="AA4" s="13">
        <v>0.30930749824405201</v>
      </c>
      <c r="AB4" s="13">
        <v>0.11942473989981339</v>
      </c>
      <c r="AC4" s="14" t="s">
        <v>58</v>
      </c>
      <c r="AD4" s="15" t="s">
        <v>69</v>
      </c>
    </row>
    <row r="5" spans="1:30" x14ac:dyDescent="0.25">
      <c r="A5" s="5">
        <v>4</v>
      </c>
      <c r="B5" s="6" t="s">
        <v>70</v>
      </c>
      <c r="C5" s="7" t="s">
        <v>71</v>
      </c>
      <c r="D5" s="7" t="s">
        <v>72</v>
      </c>
      <c r="E5" s="7" t="s">
        <v>73</v>
      </c>
      <c r="F5" s="7" t="s">
        <v>33</v>
      </c>
      <c r="G5" s="8">
        <v>2413.0259999999998</v>
      </c>
      <c r="H5" s="8">
        <v>1225.582085</v>
      </c>
      <c r="I5" s="8">
        <v>92</v>
      </c>
      <c r="J5" s="8">
        <v>1317.582085</v>
      </c>
      <c r="K5" s="8">
        <v>299</v>
      </c>
      <c r="L5" s="9">
        <v>1187.4439149999998</v>
      </c>
      <c r="M5" s="8">
        <v>91.286500000000004</v>
      </c>
      <c r="N5" s="8">
        <v>91.286500000000004</v>
      </c>
      <c r="O5" s="8" t="s">
        <v>74</v>
      </c>
      <c r="P5" s="10">
        <v>0.50790256093386477</v>
      </c>
      <c r="Q5" s="11" t="s">
        <v>75</v>
      </c>
      <c r="R5" s="11" t="s">
        <v>76</v>
      </c>
      <c r="S5" s="11" t="s">
        <v>77</v>
      </c>
      <c r="T5" s="11" t="s">
        <v>78</v>
      </c>
      <c r="U5" s="11" t="s">
        <v>79</v>
      </c>
      <c r="V5" s="11" t="s">
        <v>80</v>
      </c>
      <c r="W5" s="11" t="s">
        <v>81</v>
      </c>
      <c r="X5" s="11" t="s">
        <v>82</v>
      </c>
      <c r="Y5" s="11" t="s">
        <v>83</v>
      </c>
      <c r="Z5" s="12">
        <v>46142</v>
      </c>
      <c r="AA5" s="13">
        <v>0.38639284961749187</v>
      </c>
      <c r="AB5" s="13">
        <v>0.33027289323308273</v>
      </c>
      <c r="AC5" s="14" t="s">
        <v>71</v>
      </c>
      <c r="AD5" s="15" t="s">
        <v>84</v>
      </c>
    </row>
    <row r="6" spans="1:30" x14ac:dyDescent="0.25">
      <c r="A6" s="5">
        <v>5</v>
      </c>
      <c r="B6" s="6" t="s">
        <v>85</v>
      </c>
      <c r="C6" s="7" t="s">
        <v>86</v>
      </c>
      <c r="D6" s="7" t="s">
        <v>86</v>
      </c>
      <c r="E6" s="7" t="s">
        <v>32</v>
      </c>
      <c r="F6" s="7" t="s">
        <v>87</v>
      </c>
      <c r="G6" s="8">
        <v>1265.69472</v>
      </c>
      <c r="H6" s="8">
        <v>622.09375</v>
      </c>
      <c r="I6" s="8">
        <v>0</v>
      </c>
      <c r="J6" s="8">
        <v>622.09375</v>
      </c>
      <c r="K6" s="8">
        <v>147</v>
      </c>
      <c r="L6" s="9">
        <v>643.60096999999996</v>
      </c>
      <c r="M6" s="8">
        <v>0</v>
      </c>
      <c r="N6" s="8">
        <v>0</v>
      </c>
      <c r="O6" s="8" t="s">
        <v>88</v>
      </c>
      <c r="P6" s="10">
        <v>0.49150378852808996</v>
      </c>
      <c r="Q6" s="11" t="s">
        <v>89</v>
      </c>
      <c r="R6" s="11" t="s">
        <v>90</v>
      </c>
      <c r="S6" s="11" t="s">
        <v>91</v>
      </c>
      <c r="T6" s="11" t="s">
        <v>92</v>
      </c>
      <c r="U6" s="11" t="s">
        <v>93</v>
      </c>
      <c r="V6" s="11" t="s">
        <v>94</v>
      </c>
      <c r="W6" s="11" t="s">
        <v>95</v>
      </c>
      <c r="X6" s="16" t="s">
        <v>96</v>
      </c>
      <c r="Y6" s="11" t="s">
        <v>97</v>
      </c>
      <c r="Z6" s="12">
        <v>46135</v>
      </c>
      <c r="AA6" s="13">
        <v>-1.3948030716163493</v>
      </c>
      <c r="AB6" s="13">
        <v>0.15352074241150571</v>
      </c>
      <c r="AC6" s="14" t="s">
        <v>86</v>
      </c>
      <c r="AD6" s="15" t="s">
        <v>98</v>
      </c>
    </row>
    <row r="7" spans="1:30" x14ac:dyDescent="0.25">
      <c r="A7" s="5">
        <v>6</v>
      </c>
      <c r="B7" s="6" t="s">
        <v>99</v>
      </c>
      <c r="C7" s="7" t="s">
        <v>100</v>
      </c>
      <c r="D7" s="7" t="s">
        <v>101</v>
      </c>
      <c r="E7" s="7" t="s">
        <v>32</v>
      </c>
      <c r="F7" s="7" t="s">
        <v>87</v>
      </c>
      <c r="G7" s="8">
        <v>2186.2800000000002</v>
      </c>
      <c r="H7" s="8">
        <v>676.2</v>
      </c>
      <c r="I7" s="8">
        <v>542</v>
      </c>
      <c r="J7" s="8">
        <v>1218.2</v>
      </c>
      <c r="K7" s="8">
        <v>501</v>
      </c>
      <c r="L7" s="9">
        <v>1510.0800000000002</v>
      </c>
      <c r="M7" s="8">
        <v>0</v>
      </c>
      <c r="N7" s="8">
        <v>0</v>
      </c>
      <c r="O7" s="8" t="s">
        <v>102</v>
      </c>
      <c r="P7" s="10">
        <v>0.3092924968439541</v>
      </c>
      <c r="Q7" s="11" t="s">
        <v>103</v>
      </c>
      <c r="R7" s="11" t="s">
        <v>104</v>
      </c>
      <c r="S7" s="11" t="s">
        <v>105</v>
      </c>
      <c r="T7" s="11" t="s">
        <v>106</v>
      </c>
      <c r="U7" s="11" t="s">
        <v>107</v>
      </c>
      <c r="V7" s="11" t="s">
        <v>108</v>
      </c>
      <c r="W7" s="11" t="s">
        <v>109</v>
      </c>
      <c r="X7" s="11" t="s">
        <v>110</v>
      </c>
      <c r="Y7" s="11" t="s">
        <v>111</v>
      </c>
      <c r="Z7" s="12">
        <v>46122</v>
      </c>
      <c r="AA7" s="13">
        <v>0.28607209338948913</v>
      </c>
      <c r="AB7" s="13">
        <v>0.32590705634920647</v>
      </c>
      <c r="AC7" s="14" t="s">
        <v>100</v>
      </c>
      <c r="AD7" s="15" t="s">
        <v>112</v>
      </c>
    </row>
    <row r="8" spans="1:30" x14ac:dyDescent="0.25">
      <c r="A8" s="5">
        <v>7</v>
      </c>
      <c r="B8" s="6" t="s">
        <v>113</v>
      </c>
      <c r="C8" s="7" t="s">
        <v>114</v>
      </c>
      <c r="D8" s="7" t="s">
        <v>115</v>
      </c>
      <c r="E8" s="7" t="s">
        <v>32</v>
      </c>
      <c r="F8" s="7" t="s">
        <v>33</v>
      </c>
      <c r="G8" s="8">
        <v>1606.08</v>
      </c>
      <c r="H8" s="8">
        <v>958.56200449999983</v>
      </c>
      <c r="I8" s="8">
        <v>64</v>
      </c>
      <c r="J8" s="8">
        <v>1022.5620044999998</v>
      </c>
      <c r="K8" s="8">
        <v>154</v>
      </c>
      <c r="L8" s="9">
        <v>647.5179955000001</v>
      </c>
      <c r="M8" s="8">
        <v>66.797672000000006</v>
      </c>
      <c r="N8" s="8">
        <v>66.797672000000006</v>
      </c>
      <c r="O8" s="8" t="s">
        <v>60</v>
      </c>
      <c r="P8" s="10">
        <v>0.59683328632446697</v>
      </c>
      <c r="Q8" s="11" t="s">
        <v>35</v>
      </c>
      <c r="R8" s="11" t="s">
        <v>116</v>
      </c>
      <c r="S8" s="11" t="s">
        <v>117</v>
      </c>
      <c r="T8" s="11" t="s">
        <v>118</v>
      </c>
      <c r="U8" s="11" t="s">
        <v>119</v>
      </c>
      <c r="V8" s="11" t="s">
        <v>120</v>
      </c>
      <c r="W8" s="11" t="s">
        <v>121</v>
      </c>
      <c r="X8" s="11" t="s">
        <v>122</v>
      </c>
      <c r="Y8" s="11" t="s">
        <v>123</v>
      </c>
      <c r="Z8" s="12">
        <v>46142</v>
      </c>
      <c r="AA8" s="13">
        <v>0.21116623465333351</v>
      </c>
      <c r="AB8" s="13">
        <v>0.10999999996973608</v>
      </c>
      <c r="AC8" s="14" t="s">
        <v>114</v>
      </c>
      <c r="AD8" s="15" t="s">
        <v>124</v>
      </c>
    </row>
    <row r="9" spans="1:30" x14ac:dyDescent="0.25">
      <c r="A9" s="5">
        <v>8</v>
      </c>
      <c r="B9" s="6" t="s">
        <v>125</v>
      </c>
      <c r="C9" s="7" t="s">
        <v>125</v>
      </c>
      <c r="D9" s="7" t="s">
        <v>125</v>
      </c>
      <c r="E9" s="7" t="s">
        <v>73</v>
      </c>
      <c r="F9" s="7" t="s">
        <v>126</v>
      </c>
      <c r="G9" s="8">
        <v>1372.5805700000001</v>
      </c>
      <c r="H9" s="8">
        <v>496.28673269999996</v>
      </c>
      <c r="I9" s="8">
        <v>55.000000000000007</v>
      </c>
      <c r="J9" s="8">
        <v>551.28673270000002</v>
      </c>
      <c r="K9" s="8">
        <v>192</v>
      </c>
      <c r="L9" s="9">
        <v>876.29383730000018</v>
      </c>
      <c r="M9" s="8">
        <v>32.968117100000001</v>
      </c>
      <c r="N9" s="8">
        <v>32.968117100000001</v>
      </c>
      <c r="O9" s="8" t="s">
        <v>127</v>
      </c>
      <c r="P9" s="10">
        <v>0.36157202247151138</v>
      </c>
      <c r="Q9" s="11" t="s">
        <v>128</v>
      </c>
      <c r="R9" s="11" t="s">
        <v>129</v>
      </c>
      <c r="S9" s="11" t="s">
        <v>130</v>
      </c>
      <c r="T9" s="11" t="s">
        <v>131</v>
      </c>
      <c r="U9" s="11" t="s">
        <v>132</v>
      </c>
      <c r="V9" s="11" t="s">
        <v>133</v>
      </c>
      <c r="W9" s="11" t="s">
        <v>134</v>
      </c>
      <c r="X9" s="11" t="s">
        <v>135</v>
      </c>
      <c r="Y9" s="11" t="s">
        <v>136</v>
      </c>
      <c r="Z9" s="12">
        <v>46141</v>
      </c>
      <c r="AA9" s="13">
        <v>9.4771522523708573E-2</v>
      </c>
      <c r="AB9" s="13">
        <v>0.11441806775377272</v>
      </c>
      <c r="AC9" s="14" t="s">
        <v>125</v>
      </c>
      <c r="AD9" s="15" t="s">
        <v>137</v>
      </c>
    </row>
    <row r="10" spans="1:30" x14ac:dyDescent="0.25">
      <c r="A10" s="5">
        <v>9</v>
      </c>
      <c r="B10" s="6" t="s">
        <v>138</v>
      </c>
      <c r="C10" s="7" t="s">
        <v>139</v>
      </c>
      <c r="D10" s="7" t="s">
        <v>138</v>
      </c>
      <c r="E10" s="7" t="s">
        <v>32</v>
      </c>
      <c r="F10" s="7" t="s">
        <v>126</v>
      </c>
      <c r="G10" s="8">
        <v>5337.5</v>
      </c>
      <c r="H10" s="8">
        <v>3812.5</v>
      </c>
      <c r="I10" s="8">
        <v>1144</v>
      </c>
      <c r="J10" s="8">
        <v>4956.5</v>
      </c>
      <c r="K10" s="8">
        <v>1043</v>
      </c>
      <c r="L10" s="9">
        <v>1525</v>
      </c>
      <c r="M10" s="8">
        <v>0</v>
      </c>
      <c r="N10" s="8">
        <v>0</v>
      </c>
      <c r="O10" s="8" t="s">
        <v>140</v>
      </c>
      <c r="P10" s="10">
        <v>0.7142857142857143</v>
      </c>
      <c r="Q10" s="11" t="s">
        <v>75</v>
      </c>
      <c r="R10" s="11" t="s">
        <v>141</v>
      </c>
      <c r="S10" s="11" t="s">
        <v>142</v>
      </c>
      <c r="T10" s="11" t="s">
        <v>143</v>
      </c>
      <c r="U10" s="11" t="s">
        <v>144</v>
      </c>
      <c r="V10" s="11" t="s">
        <v>145</v>
      </c>
      <c r="W10" s="11" t="s">
        <v>146</v>
      </c>
      <c r="X10" s="11" t="s">
        <v>135</v>
      </c>
      <c r="Y10" s="11" t="s">
        <v>147</v>
      </c>
      <c r="Z10" s="12">
        <v>46144</v>
      </c>
      <c r="AA10" s="13">
        <v>0.3771051418170831</v>
      </c>
      <c r="AB10" s="13">
        <v>0.51229508024724535</v>
      </c>
      <c r="AC10" s="14" t="s">
        <v>139</v>
      </c>
      <c r="AD10" s="15" t="s">
        <v>148</v>
      </c>
    </row>
    <row r="11" spans="1:30" x14ac:dyDescent="0.25">
      <c r="A11" s="5">
        <v>10</v>
      </c>
      <c r="B11" s="6" t="s">
        <v>149</v>
      </c>
      <c r="C11" s="7" t="s">
        <v>150</v>
      </c>
      <c r="D11" s="7" t="s">
        <v>150</v>
      </c>
      <c r="E11" s="7" t="s">
        <v>151</v>
      </c>
      <c r="F11" s="7" t="s">
        <v>152</v>
      </c>
      <c r="G11" s="8">
        <v>680.69294500000001</v>
      </c>
      <c r="H11" s="8">
        <v>339.7709773000002</v>
      </c>
      <c r="I11" s="8">
        <v>0</v>
      </c>
      <c r="J11" s="8">
        <v>339.7709773000002</v>
      </c>
      <c r="K11" s="8">
        <v>108</v>
      </c>
      <c r="L11" s="9">
        <v>340.92196769999981</v>
      </c>
      <c r="M11" s="8">
        <v>-5.4135344999999999</v>
      </c>
      <c r="N11" s="8">
        <v>-5.4135344999999999</v>
      </c>
      <c r="O11" s="8" t="s">
        <v>153</v>
      </c>
      <c r="P11" s="10">
        <v>0.49915454507905938</v>
      </c>
      <c r="Q11" s="11" t="s">
        <v>35</v>
      </c>
      <c r="R11" s="11" t="s">
        <v>154</v>
      </c>
      <c r="S11" s="11" t="s">
        <v>37</v>
      </c>
      <c r="T11" s="11" t="s">
        <v>155</v>
      </c>
      <c r="U11" s="11" t="s">
        <v>156</v>
      </c>
      <c r="V11" s="11" t="s">
        <v>157</v>
      </c>
      <c r="W11" s="11" t="s">
        <v>158</v>
      </c>
      <c r="X11" s="11" t="s">
        <v>135</v>
      </c>
      <c r="Y11" s="11">
        <v>0</v>
      </c>
      <c r="Z11" s="12">
        <v>46142</v>
      </c>
      <c r="AA11" s="13">
        <v>0.4142236295434828</v>
      </c>
      <c r="AB11" s="13">
        <v>0.12040585230689282</v>
      </c>
      <c r="AC11" s="14" t="s">
        <v>150</v>
      </c>
      <c r="AD11" s="15" t="s">
        <v>159</v>
      </c>
    </row>
    <row r="12" spans="1:30" x14ac:dyDescent="0.25">
      <c r="A12" s="5">
        <v>11</v>
      </c>
      <c r="B12" s="6" t="s">
        <v>160</v>
      </c>
      <c r="C12" s="7" t="s">
        <v>161</v>
      </c>
      <c r="D12" s="7" t="s">
        <v>161</v>
      </c>
      <c r="E12" s="7" t="s">
        <v>73</v>
      </c>
      <c r="F12" s="7" t="s">
        <v>126</v>
      </c>
      <c r="G12" s="8">
        <v>1045.762712</v>
      </c>
      <c r="H12" s="8">
        <v>770.78811320000011</v>
      </c>
      <c r="I12" s="8">
        <v>0</v>
      </c>
      <c r="J12" s="8">
        <v>770.78811320000011</v>
      </c>
      <c r="K12" s="8">
        <v>0</v>
      </c>
      <c r="L12" s="9">
        <v>274.97459879999985</v>
      </c>
      <c r="M12" s="8">
        <v>0</v>
      </c>
      <c r="N12" s="8">
        <v>0</v>
      </c>
      <c r="O12" s="8" t="s">
        <v>162</v>
      </c>
      <c r="P12" s="10">
        <v>0.73705832533068949</v>
      </c>
      <c r="Q12" s="11" t="s">
        <v>163</v>
      </c>
      <c r="R12" s="11" t="s">
        <v>164</v>
      </c>
      <c r="S12" s="11" t="s">
        <v>165</v>
      </c>
      <c r="T12" s="11" t="s">
        <v>166</v>
      </c>
      <c r="U12" s="11" t="s">
        <v>167</v>
      </c>
      <c r="V12" s="11" t="s">
        <v>168</v>
      </c>
      <c r="W12" s="11" t="s">
        <v>169</v>
      </c>
      <c r="X12" s="11" t="s">
        <v>135</v>
      </c>
      <c r="Y12" s="11" t="s">
        <v>170</v>
      </c>
      <c r="Z12" s="12">
        <v>46146</v>
      </c>
      <c r="AA12" s="13">
        <v>0.16985596624000832</v>
      </c>
      <c r="AB12" s="13">
        <v>0.18000000439604424</v>
      </c>
      <c r="AC12" s="14" t="s">
        <v>161</v>
      </c>
      <c r="AD12" s="15" t="s">
        <v>171</v>
      </c>
    </row>
    <row r="13" spans="1:30" x14ac:dyDescent="0.25">
      <c r="A13" s="5">
        <v>12</v>
      </c>
      <c r="B13" s="6" t="s">
        <v>172</v>
      </c>
      <c r="C13" s="7" t="s">
        <v>173</v>
      </c>
      <c r="D13" s="7" t="s">
        <v>172</v>
      </c>
      <c r="E13" s="7" t="s">
        <v>73</v>
      </c>
      <c r="F13" s="7" t="s">
        <v>126</v>
      </c>
      <c r="G13" s="8">
        <v>2019.8763390000001</v>
      </c>
      <c r="H13" s="8">
        <v>493.68378150000001</v>
      </c>
      <c r="I13" s="8">
        <v>0</v>
      </c>
      <c r="J13" s="8">
        <v>493.68378150000001</v>
      </c>
      <c r="K13" s="8">
        <v>0</v>
      </c>
      <c r="L13" s="9">
        <v>1526.1925575</v>
      </c>
      <c r="M13" s="8">
        <v>0</v>
      </c>
      <c r="N13" s="8">
        <v>0</v>
      </c>
      <c r="O13" s="8" t="s">
        <v>153</v>
      </c>
      <c r="P13" s="10">
        <v>0.24441287417843255</v>
      </c>
      <c r="Q13" s="11" t="s">
        <v>75</v>
      </c>
      <c r="R13" s="11" t="s">
        <v>174</v>
      </c>
      <c r="S13" s="11" t="s">
        <v>175</v>
      </c>
      <c r="T13" s="11" t="s">
        <v>176</v>
      </c>
      <c r="U13" s="11" t="s">
        <v>177</v>
      </c>
      <c r="V13" s="11" t="s">
        <v>178</v>
      </c>
      <c r="W13" s="11" t="s">
        <v>179</v>
      </c>
      <c r="X13" s="11" t="s">
        <v>135</v>
      </c>
      <c r="Y13" s="11" t="s">
        <v>180</v>
      </c>
      <c r="Z13" s="12">
        <v>46136</v>
      </c>
      <c r="AA13" s="13">
        <v>0.20489999998701292</v>
      </c>
      <c r="AB13" s="13">
        <v>0.2046391013686556</v>
      </c>
      <c r="AC13" s="14" t="s">
        <v>173</v>
      </c>
      <c r="AD13" s="15" t="s">
        <v>171</v>
      </c>
    </row>
    <row r="14" spans="1:30" x14ac:dyDescent="0.25">
      <c r="A14" s="5">
        <v>13</v>
      </c>
      <c r="B14" s="6" t="s">
        <v>181</v>
      </c>
      <c r="C14" s="7" t="s">
        <v>182</v>
      </c>
      <c r="D14" s="7" t="s">
        <v>183</v>
      </c>
      <c r="E14" s="7" t="s">
        <v>73</v>
      </c>
      <c r="F14" s="7" t="s">
        <v>126</v>
      </c>
      <c r="G14" s="8">
        <v>2903.04126</v>
      </c>
      <c r="H14" s="8">
        <v>2182.1293272000007</v>
      </c>
      <c r="I14" s="8">
        <v>0</v>
      </c>
      <c r="J14" s="8">
        <v>2182.1293272000007</v>
      </c>
      <c r="K14" s="8">
        <v>1473</v>
      </c>
      <c r="L14" s="9">
        <v>720.91193279999925</v>
      </c>
      <c r="M14" s="8">
        <v>0</v>
      </c>
      <c r="N14" s="8">
        <v>0</v>
      </c>
      <c r="O14" s="8" t="s">
        <v>184</v>
      </c>
      <c r="P14" s="10">
        <v>0.75167010447519467</v>
      </c>
      <c r="Q14" s="11" t="s">
        <v>75</v>
      </c>
      <c r="R14" s="11" t="s">
        <v>185</v>
      </c>
      <c r="S14" s="11" t="s">
        <v>186</v>
      </c>
      <c r="T14" s="11" t="s">
        <v>187</v>
      </c>
      <c r="U14" s="11" t="s">
        <v>188</v>
      </c>
      <c r="V14" s="11" t="s">
        <v>189</v>
      </c>
      <c r="W14" s="11" t="s">
        <v>190</v>
      </c>
      <c r="X14" s="11" t="s">
        <v>135</v>
      </c>
      <c r="Y14" s="11" t="s">
        <v>191</v>
      </c>
      <c r="Z14" s="12">
        <v>46142</v>
      </c>
      <c r="AA14" s="13">
        <v>0.1799999999028975</v>
      </c>
      <c r="AB14" s="13">
        <v>-0.204144834903355</v>
      </c>
      <c r="AC14" s="14" t="s">
        <v>182</v>
      </c>
      <c r="AD14" s="15" t="s">
        <v>192</v>
      </c>
    </row>
    <row r="15" spans="1:30" x14ac:dyDescent="0.25">
      <c r="A15" s="5">
        <v>14</v>
      </c>
      <c r="B15" s="6" t="s">
        <v>193</v>
      </c>
      <c r="C15" s="7" t="s">
        <v>194</v>
      </c>
      <c r="D15" s="7" t="s">
        <v>194</v>
      </c>
      <c r="E15" s="7" t="s">
        <v>73</v>
      </c>
      <c r="F15" s="7" t="s">
        <v>87</v>
      </c>
      <c r="G15" s="8">
        <v>1047.3630700000001</v>
      </c>
      <c r="H15" s="8">
        <v>162.96677500000001</v>
      </c>
      <c r="I15" s="8">
        <v>0</v>
      </c>
      <c r="J15" s="8">
        <v>162.96677500000001</v>
      </c>
      <c r="K15" s="8">
        <v>114.99999999999999</v>
      </c>
      <c r="L15" s="9">
        <v>884.39629500000012</v>
      </c>
      <c r="M15" s="8">
        <v>0</v>
      </c>
      <c r="N15" s="8">
        <v>0</v>
      </c>
      <c r="O15" s="8" t="s">
        <v>195</v>
      </c>
      <c r="P15" s="10">
        <v>0.15559721329490833</v>
      </c>
      <c r="Q15" s="11" t="s">
        <v>196</v>
      </c>
      <c r="R15" s="11" t="s">
        <v>197</v>
      </c>
      <c r="S15" s="11" t="s">
        <v>198</v>
      </c>
      <c r="T15" s="11" t="s">
        <v>199</v>
      </c>
      <c r="U15" s="11" t="s">
        <v>200</v>
      </c>
      <c r="V15" s="11" t="s">
        <v>201</v>
      </c>
      <c r="W15" s="11" t="s">
        <v>202</v>
      </c>
      <c r="X15" s="11" t="s">
        <v>203</v>
      </c>
      <c r="Y15" s="11" t="s">
        <v>204</v>
      </c>
      <c r="Z15" s="12">
        <v>46135</v>
      </c>
      <c r="AA15" s="13" t="s">
        <v>205</v>
      </c>
      <c r="AB15" s="13">
        <v>-9.5509698226650848</v>
      </c>
      <c r="AC15" s="14" t="s">
        <v>194</v>
      </c>
      <c r="AD15" s="15" t="s">
        <v>206</v>
      </c>
    </row>
    <row r="16" spans="1:30" x14ac:dyDescent="0.25">
      <c r="A16" s="5">
        <v>15</v>
      </c>
      <c r="B16" s="6" t="s">
        <v>207</v>
      </c>
      <c r="C16" s="7" t="s">
        <v>208</v>
      </c>
      <c r="D16" s="7" t="s">
        <v>207</v>
      </c>
      <c r="E16" s="7" t="s">
        <v>209</v>
      </c>
      <c r="F16" s="7" t="s">
        <v>126</v>
      </c>
      <c r="G16" s="8">
        <v>669.18430290000003</v>
      </c>
      <c r="H16" s="8">
        <v>666.07277790000012</v>
      </c>
      <c r="I16" s="8">
        <v>0</v>
      </c>
      <c r="J16" s="8">
        <v>666.07277790000012</v>
      </c>
      <c r="K16" s="8">
        <v>257</v>
      </c>
      <c r="L16" s="9">
        <v>3.1115249999999151</v>
      </c>
      <c r="M16" s="8">
        <v>0</v>
      </c>
      <c r="N16" s="8">
        <v>0</v>
      </c>
      <c r="O16" s="8" t="s">
        <v>210</v>
      </c>
      <c r="P16" s="10">
        <v>0.99535027198558645</v>
      </c>
      <c r="Q16" s="16" t="s">
        <v>211</v>
      </c>
      <c r="R16" s="11" t="s">
        <v>212</v>
      </c>
      <c r="S16" s="11" t="s">
        <v>213</v>
      </c>
      <c r="T16" s="11" t="s">
        <v>199</v>
      </c>
      <c r="U16" s="11" t="s">
        <v>214</v>
      </c>
      <c r="V16" s="11" t="s">
        <v>215</v>
      </c>
      <c r="W16" s="11" t="s">
        <v>216</v>
      </c>
      <c r="X16" s="11" t="s">
        <v>135</v>
      </c>
      <c r="Y16" s="11" t="s">
        <v>217</v>
      </c>
      <c r="Z16" s="12">
        <v>46135</v>
      </c>
      <c r="AA16" s="13" t="s">
        <v>205</v>
      </c>
      <c r="AB16" s="13">
        <v>0.20000000003501683</v>
      </c>
      <c r="AC16" s="14" t="s">
        <v>208</v>
      </c>
      <c r="AD16" s="15" t="s">
        <v>218</v>
      </c>
    </row>
    <row r="17" spans="1:30" x14ac:dyDescent="0.25">
      <c r="A17" s="5">
        <v>16</v>
      </c>
      <c r="B17" s="6" t="s">
        <v>219</v>
      </c>
      <c r="C17" s="7" t="s">
        <v>220</v>
      </c>
      <c r="D17" s="7" t="s">
        <v>221</v>
      </c>
      <c r="E17" s="7" t="s">
        <v>73</v>
      </c>
      <c r="F17" s="7" t="s">
        <v>126</v>
      </c>
      <c r="G17" s="8">
        <v>437.16408000000001</v>
      </c>
      <c r="H17" s="8">
        <v>286.48819380000003</v>
      </c>
      <c r="I17" s="8">
        <v>72</v>
      </c>
      <c r="J17" s="8">
        <v>358.48819380000003</v>
      </c>
      <c r="K17" s="8">
        <v>270</v>
      </c>
      <c r="L17" s="9">
        <v>150.67588619999998</v>
      </c>
      <c r="M17" s="8">
        <v>72.277794599999993</v>
      </c>
      <c r="N17" s="8">
        <v>72.277794599999993</v>
      </c>
      <c r="O17" s="8" t="s">
        <v>222</v>
      </c>
      <c r="P17" s="10">
        <v>0.65533333342483224</v>
      </c>
      <c r="Q17" s="11" t="s">
        <v>35</v>
      </c>
      <c r="R17" s="11" t="s">
        <v>223</v>
      </c>
      <c r="S17" s="11" t="s">
        <v>224</v>
      </c>
      <c r="T17" s="11" t="s">
        <v>225</v>
      </c>
      <c r="U17" s="11" t="s">
        <v>226</v>
      </c>
      <c r="V17" s="11" t="s">
        <v>227</v>
      </c>
      <c r="W17" s="11" t="s">
        <v>228</v>
      </c>
      <c r="X17" s="11" t="s">
        <v>135</v>
      </c>
      <c r="Y17" s="11" t="s">
        <v>229</v>
      </c>
      <c r="Z17" s="12">
        <v>46142</v>
      </c>
      <c r="AA17" s="13">
        <v>0.84701213702793943</v>
      </c>
      <c r="AB17" s="13" t="s">
        <v>205</v>
      </c>
      <c r="AC17" s="14" t="s">
        <v>220</v>
      </c>
      <c r="AD17" s="15" t="s">
        <v>230</v>
      </c>
    </row>
    <row r="18" spans="1:30" x14ac:dyDescent="0.25">
      <c r="A18" s="5">
        <v>17</v>
      </c>
      <c r="B18" s="6" t="s">
        <v>231</v>
      </c>
      <c r="C18" s="7" t="s">
        <v>232</v>
      </c>
      <c r="D18" s="7" t="s">
        <v>233</v>
      </c>
      <c r="E18" s="7" t="s">
        <v>73</v>
      </c>
      <c r="F18" s="7" t="s">
        <v>234</v>
      </c>
      <c r="G18" s="8">
        <v>171.31355932203391</v>
      </c>
      <c r="H18" s="8">
        <v>171.31355930000001</v>
      </c>
      <c r="I18" s="8">
        <v>0</v>
      </c>
      <c r="J18" s="8">
        <v>171.31355930000001</v>
      </c>
      <c r="K18" s="8">
        <v>51</v>
      </c>
      <c r="L18" s="9">
        <v>2.2033901814211276E-8</v>
      </c>
      <c r="M18" s="8">
        <v>0</v>
      </c>
      <c r="N18" s="8">
        <v>0</v>
      </c>
      <c r="O18" s="8" t="s">
        <v>235</v>
      </c>
      <c r="P18" s="10">
        <v>0.99999999987138266</v>
      </c>
      <c r="Q18" s="11" t="s">
        <v>236</v>
      </c>
      <c r="R18" s="11" t="s">
        <v>237</v>
      </c>
      <c r="S18" s="11" t="s">
        <v>238</v>
      </c>
      <c r="T18" s="11" t="s">
        <v>239</v>
      </c>
      <c r="U18" s="31" t="s">
        <v>431</v>
      </c>
      <c r="V18" s="11" t="s">
        <v>240</v>
      </c>
      <c r="W18" s="11" t="s">
        <v>241</v>
      </c>
      <c r="X18" s="11" t="s">
        <v>242</v>
      </c>
      <c r="Y18" s="11" t="s">
        <v>243</v>
      </c>
      <c r="Z18" s="12">
        <v>46142</v>
      </c>
      <c r="AA18" s="13">
        <v>0.21799999984005936</v>
      </c>
      <c r="AB18" s="13" t="s">
        <v>205</v>
      </c>
      <c r="AC18" s="14" t="s">
        <v>232</v>
      </c>
      <c r="AD18" s="15" t="s">
        <v>244</v>
      </c>
    </row>
    <row r="19" spans="1:30" x14ac:dyDescent="0.25">
      <c r="A19" s="5">
        <v>18</v>
      </c>
      <c r="B19" s="6" t="s">
        <v>245</v>
      </c>
      <c r="C19" s="7" t="s">
        <v>246</v>
      </c>
      <c r="D19" s="7" t="s">
        <v>247</v>
      </c>
      <c r="E19" s="7" t="s">
        <v>32</v>
      </c>
      <c r="F19" s="7" t="s">
        <v>87</v>
      </c>
      <c r="G19" s="8">
        <v>111.36</v>
      </c>
      <c r="H19" s="8">
        <v>111.36</v>
      </c>
      <c r="I19" s="8">
        <v>0</v>
      </c>
      <c r="J19" s="8">
        <v>111.36</v>
      </c>
      <c r="K19" s="8">
        <v>0</v>
      </c>
      <c r="L19" s="9">
        <v>0</v>
      </c>
      <c r="M19" s="8">
        <v>55.68</v>
      </c>
      <c r="N19" s="8">
        <v>55.68</v>
      </c>
      <c r="O19" s="8" t="s">
        <v>248</v>
      </c>
      <c r="P19" s="10">
        <v>1</v>
      </c>
      <c r="Q19" s="11" t="s">
        <v>249</v>
      </c>
      <c r="R19" s="11" t="s">
        <v>250</v>
      </c>
      <c r="S19" s="11" t="s">
        <v>251</v>
      </c>
      <c r="T19" s="11" t="s">
        <v>252</v>
      </c>
      <c r="U19" s="11" t="s">
        <v>253</v>
      </c>
      <c r="V19" s="11" t="s">
        <v>254</v>
      </c>
      <c r="W19" s="11" t="s">
        <v>255</v>
      </c>
      <c r="X19" s="11" t="s">
        <v>256</v>
      </c>
      <c r="Y19" s="11" t="s">
        <v>257</v>
      </c>
      <c r="Z19" s="12">
        <v>46142</v>
      </c>
      <c r="AA19" s="13">
        <v>9.1376267959770163E-2</v>
      </c>
      <c r="AB19" s="13" t="s">
        <v>205</v>
      </c>
      <c r="AC19" s="14" t="s">
        <v>246</v>
      </c>
      <c r="AD19" s="15" t="s">
        <v>98</v>
      </c>
    </row>
    <row r="20" spans="1:30" x14ac:dyDescent="0.25">
      <c r="A20" s="5">
        <v>19</v>
      </c>
      <c r="B20" s="6" t="s">
        <v>258</v>
      </c>
      <c r="C20" s="7" t="s">
        <v>258</v>
      </c>
      <c r="D20" s="7" t="s">
        <v>259</v>
      </c>
      <c r="E20" s="7" t="s">
        <v>32</v>
      </c>
      <c r="F20" s="7" t="s">
        <v>87</v>
      </c>
      <c r="G20" s="8">
        <v>218.28</v>
      </c>
      <c r="H20" s="8">
        <v>109.14</v>
      </c>
      <c r="I20" s="8">
        <v>0</v>
      </c>
      <c r="J20" s="8">
        <v>109.14</v>
      </c>
      <c r="K20" s="8">
        <v>0</v>
      </c>
      <c r="L20" s="9">
        <v>109.14</v>
      </c>
      <c r="M20" s="8">
        <v>0</v>
      </c>
      <c r="N20" s="8">
        <v>0</v>
      </c>
      <c r="O20" s="17" t="s">
        <v>260</v>
      </c>
      <c r="P20" s="10">
        <v>0.5</v>
      </c>
      <c r="Q20" s="11" t="s">
        <v>135</v>
      </c>
      <c r="R20" s="11" t="s">
        <v>261</v>
      </c>
      <c r="S20" s="11" t="s">
        <v>91</v>
      </c>
      <c r="T20" s="11" t="s">
        <v>135</v>
      </c>
      <c r="U20" s="11" t="s">
        <v>262</v>
      </c>
      <c r="V20" s="11" t="s">
        <v>263</v>
      </c>
      <c r="W20" s="11" t="s">
        <v>264</v>
      </c>
      <c r="X20" s="11">
        <v>0</v>
      </c>
      <c r="Y20" s="11">
        <v>0</v>
      </c>
      <c r="Z20" s="12">
        <v>46142</v>
      </c>
      <c r="AA20" s="13">
        <v>0.33175610958402046</v>
      </c>
      <c r="AB20" s="13" t="s">
        <v>205</v>
      </c>
      <c r="AC20" s="14" t="s">
        <v>258</v>
      </c>
      <c r="AD20" s="15" t="s">
        <v>265</v>
      </c>
    </row>
    <row r="21" spans="1:30" x14ac:dyDescent="0.25">
      <c r="A21" s="5">
        <v>20</v>
      </c>
      <c r="B21" s="6" t="s">
        <v>266</v>
      </c>
      <c r="C21" s="7" t="s">
        <v>267</v>
      </c>
      <c r="D21" s="7" t="s">
        <v>268</v>
      </c>
      <c r="E21" s="7" t="s">
        <v>32</v>
      </c>
      <c r="F21" s="7" t="s">
        <v>33</v>
      </c>
      <c r="G21" s="8">
        <v>509.88</v>
      </c>
      <c r="H21" s="8">
        <v>29.608499999999999</v>
      </c>
      <c r="I21" s="8">
        <v>48</v>
      </c>
      <c r="J21" s="8">
        <v>77.608499999999992</v>
      </c>
      <c r="K21" s="8">
        <v>35</v>
      </c>
      <c r="L21" s="9">
        <v>480.2715</v>
      </c>
      <c r="M21" s="8">
        <v>0</v>
      </c>
      <c r="N21" s="8">
        <v>0</v>
      </c>
      <c r="O21" s="8" t="s">
        <v>269</v>
      </c>
      <c r="P21" s="10">
        <v>5.8069545775476579E-2</v>
      </c>
      <c r="Q21" s="11" t="s">
        <v>35</v>
      </c>
      <c r="R21" s="11" t="s">
        <v>270</v>
      </c>
      <c r="S21" s="11" t="s">
        <v>271</v>
      </c>
      <c r="T21" s="11" t="s">
        <v>272</v>
      </c>
      <c r="U21" s="11" t="s">
        <v>273</v>
      </c>
      <c r="V21" s="11" t="s">
        <v>274</v>
      </c>
      <c r="W21" s="11" t="s">
        <v>275</v>
      </c>
      <c r="X21" s="11" t="s">
        <v>276</v>
      </c>
      <c r="Y21" s="11" t="s">
        <v>277</v>
      </c>
      <c r="Z21" s="12">
        <v>46142</v>
      </c>
      <c r="AA21" s="13">
        <v>0.26948085534049881</v>
      </c>
      <c r="AB21" s="13" t="s">
        <v>205</v>
      </c>
      <c r="AC21" s="14" t="s">
        <v>267</v>
      </c>
      <c r="AD21" s="15" t="s">
        <v>278</v>
      </c>
    </row>
    <row r="22" spans="1:30" x14ac:dyDescent="0.25">
      <c r="A22" s="5">
        <v>21</v>
      </c>
      <c r="B22" s="6" t="s">
        <v>279</v>
      </c>
      <c r="C22" s="7" t="s">
        <v>280</v>
      </c>
      <c r="D22" s="7" t="s">
        <v>281</v>
      </c>
      <c r="E22" s="7" t="s">
        <v>73</v>
      </c>
      <c r="F22" s="7"/>
      <c r="G22" s="8">
        <v>0</v>
      </c>
      <c r="H22" s="8">
        <v>0</v>
      </c>
      <c r="I22" s="8">
        <v>0</v>
      </c>
      <c r="J22" s="8">
        <v>0</v>
      </c>
      <c r="K22" s="8">
        <v>0</v>
      </c>
      <c r="L22" s="9">
        <v>0</v>
      </c>
      <c r="M22" s="8">
        <v>0</v>
      </c>
      <c r="N22" s="8">
        <v>0</v>
      </c>
      <c r="O22" s="8" t="s">
        <v>282</v>
      </c>
      <c r="P22" s="10">
        <v>0</v>
      </c>
      <c r="Q22" s="11">
        <v>0</v>
      </c>
      <c r="R22" s="11" t="s">
        <v>283</v>
      </c>
      <c r="S22" s="11" t="s">
        <v>135</v>
      </c>
      <c r="T22" s="11" t="s">
        <v>284</v>
      </c>
      <c r="U22" s="11" t="s">
        <v>285</v>
      </c>
      <c r="V22" s="11" t="s">
        <v>286</v>
      </c>
      <c r="W22" s="11" t="s">
        <v>287</v>
      </c>
      <c r="X22" s="11" t="s">
        <v>135</v>
      </c>
      <c r="Y22" s="11" t="s">
        <v>288</v>
      </c>
      <c r="Z22" s="12">
        <v>45925</v>
      </c>
      <c r="AA22" s="13" t="s">
        <v>205</v>
      </c>
      <c r="AB22" s="13" t="s">
        <v>205</v>
      </c>
      <c r="AC22" s="14" t="s">
        <v>280</v>
      </c>
      <c r="AD22" s="15" t="s">
        <v>289</v>
      </c>
    </row>
    <row r="23" spans="1:30" x14ac:dyDescent="0.25">
      <c r="A23" s="5">
        <v>22</v>
      </c>
      <c r="B23" s="6" t="s">
        <v>290</v>
      </c>
      <c r="C23" s="7" t="s">
        <v>291</v>
      </c>
      <c r="D23" s="7" t="s">
        <v>292</v>
      </c>
      <c r="E23" s="7" t="s">
        <v>151</v>
      </c>
      <c r="F23" s="7" t="s">
        <v>152</v>
      </c>
      <c r="G23" s="8">
        <v>6660.9289406779662</v>
      </c>
      <c r="H23" s="8">
        <v>6497.8216138999996</v>
      </c>
      <c r="I23" s="8">
        <v>0</v>
      </c>
      <c r="J23" s="8">
        <v>6497.8216138999996</v>
      </c>
      <c r="K23" s="8">
        <v>0</v>
      </c>
      <c r="L23" s="9">
        <v>163.10732677796659</v>
      </c>
      <c r="M23" s="8">
        <v>96.250439999999998</v>
      </c>
      <c r="N23" s="8">
        <v>96.250439999999998</v>
      </c>
      <c r="O23" s="8" t="s">
        <v>293</v>
      </c>
      <c r="P23" s="10">
        <v>0.97551282587900345</v>
      </c>
      <c r="Q23" s="11" t="s">
        <v>75</v>
      </c>
      <c r="R23" s="11" t="s">
        <v>294</v>
      </c>
      <c r="S23" s="11" t="s">
        <v>91</v>
      </c>
      <c r="T23" s="11" t="s">
        <v>295</v>
      </c>
      <c r="U23" s="11" t="s">
        <v>296</v>
      </c>
      <c r="V23" s="11" t="s">
        <v>297</v>
      </c>
      <c r="W23" s="11" t="s">
        <v>298</v>
      </c>
      <c r="X23" s="11" t="s">
        <v>299</v>
      </c>
      <c r="Y23" s="11" t="s">
        <v>300</v>
      </c>
      <c r="Z23" s="12">
        <v>46128</v>
      </c>
      <c r="AA23" s="13">
        <v>0.34517873346065742</v>
      </c>
      <c r="AB23" s="13">
        <v>4.7055080021901952E-2</v>
      </c>
      <c r="AC23" s="14" t="e">
        <v>#N/A</v>
      </c>
      <c r="AD23" s="15" t="s">
        <v>301</v>
      </c>
    </row>
    <row r="24" spans="1:30" x14ac:dyDescent="0.25">
      <c r="A24" s="5">
        <v>23</v>
      </c>
      <c r="B24" s="6" t="s">
        <v>302</v>
      </c>
      <c r="C24" s="7" t="s">
        <v>303</v>
      </c>
      <c r="D24" s="7" t="s">
        <v>303</v>
      </c>
      <c r="E24" s="7" t="s">
        <v>209</v>
      </c>
      <c r="F24" s="7" t="s">
        <v>126</v>
      </c>
      <c r="G24" s="8">
        <v>360.9787</v>
      </c>
      <c r="H24" s="8">
        <v>162.440415</v>
      </c>
      <c r="I24" s="8">
        <v>0</v>
      </c>
      <c r="J24" s="8">
        <v>162.440415</v>
      </c>
      <c r="K24" s="8">
        <v>0</v>
      </c>
      <c r="L24" s="9">
        <v>198.538285</v>
      </c>
      <c r="M24" s="8">
        <v>0</v>
      </c>
      <c r="N24" s="8">
        <v>0</v>
      </c>
      <c r="O24" s="8" t="s">
        <v>304</v>
      </c>
      <c r="P24" s="10">
        <v>0.45</v>
      </c>
      <c r="Q24" s="11" t="s">
        <v>75</v>
      </c>
      <c r="R24" s="11" t="s">
        <v>305</v>
      </c>
      <c r="S24" s="11" t="s">
        <v>186</v>
      </c>
      <c r="T24" s="11" t="s">
        <v>306</v>
      </c>
      <c r="U24" s="16" t="s">
        <v>307</v>
      </c>
      <c r="V24" s="11" t="s">
        <v>308</v>
      </c>
      <c r="W24" s="11" t="s">
        <v>309</v>
      </c>
      <c r="X24" s="11" t="s">
        <v>299</v>
      </c>
      <c r="Y24" s="11" t="s">
        <v>310</v>
      </c>
      <c r="Z24" s="12">
        <v>46135</v>
      </c>
      <c r="AA24" s="13">
        <v>1.9433124213630304E-2</v>
      </c>
      <c r="AB24" s="13">
        <v>0.42701644292272078</v>
      </c>
      <c r="AC24" s="14" t="e">
        <v>#N/A</v>
      </c>
      <c r="AD24" s="15" t="s">
        <v>218</v>
      </c>
    </row>
    <row r="25" spans="1:30" x14ac:dyDescent="0.25">
      <c r="A25" s="5">
        <v>24</v>
      </c>
      <c r="B25" s="6" t="s">
        <v>311</v>
      </c>
      <c r="C25" s="7" t="s">
        <v>312</v>
      </c>
      <c r="D25" s="7" t="s">
        <v>312</v>
      </c>
      <c r="E25" s="7" t="s">
        <v>209</v>
      </c>
      <c r="F25" s="7" t="s">
        <v>126</v>
      </c>
      <c r="G25" s="8">
        <v>352.65960000000001</v>
      </c>
      <c r="H25" s="8">
        <v>193.96278000000001</v>
      </c>
      <c r="I25" s="8">
        <v>0</v>
      </c>
      <c r="J25" s="8">
        <v>193.96278000000001</v>
      </c>
      <c r="K25" s="8">
        <v>0</v>
      </c>
      <c r="L25" s="9">
        <v>158.69682</v>
      </c>
      <c r="M25" s="8">
        <v>0</v>
      </c>
      <c r="N25" s="8">
        <v>0</v>
      </c>
      <c r="O25" s="8" t="s">
        <v>304</v>
      </c>
      <c r="P25" s="10">
        <v>0.55000000000000004</v>
      </c>
      <c r="Q25" s="11" t="s">
        <v>75</v>
      </c>
      <c r="R25" s="11" t="s">
        <v>313</v>
      </c>
      <c r="S25" s="11" t="s">
        <v>314</v>
      </c>
      <c r="T25" s="11" t="s">
        <v>315</v>
      </c>
      <c r="U25" s="16" t="s">
        <v>316</v>
      </c>
      <c r="V25" s="11" t="s">
        <v>317</v>
      </c>
      <c r="W25" s="11" t="s">
        <v>318</v>
      </c>
      <c r="X25" s="11" t="s">
        <v>299</v>
      </c>
      <c r="Y25" s="11" t="s">
        <v>319</v>
      </c>
      <c r="Z25" s="12">
        <v>46135</v>
      </c>
      <c r="AA25" s="13">
        <v>0.47825792208690765</v>
      </c>
      <c r="AB25" s="13">
        <v>0.67739458815242792</v>
      </c>
      <c r="AC25" s="14" t="e">
        <v>#N/A</v>
      </c>
      <c r="AD25" s="15" t="s">
        <v>218</v>
      </c>
    </row>
    <row r="26" spans="1:30" x14ac:dyDescent="0.25">
      <c r="A26" s="5">
        <v>25</v>
      </c>
      <c r="B26" s="6" t="s">
        <v>320</v>
      </c>
      <c r="C26" s="7" t="s">
        <v>321</v>
      </c>
      <c r="D26" s="7" t="s">
        <v>322</v>
      </c>
      <c r="E26" s="7" t="s">
        <v>209</v>
      </c>
      <c r="F26" s="7" t="s">
        <v>234</v>
      </c>
      <c r="G26" s="8">
        <v>1275.816245</v>
      </c>
      <c r="H26" s="8">
        <v>1087.4796217000005</v>
      </c>
      <c r="I26" s="8">
        <v>0</v>
      </c>
      <c r="J26" s="8">
        <v>1087.4796217000005</v>
      </c>
      <c r="K26" s="8">
        <v>0</v>
      </c>
      <c r="L26" s="9">
        <v>188.33662329999947</v>
      </c>
      <c r="M26" s="8">
        <v>0</v>
      </c>
      <c r="N26" s="8">
        <v>0</v>
      </c>
      <c r="O26" s="8" t="s">
        <v>304</v>
      </c>
      <c r="P26" s="10">
        <v>0.85237950681526287</v>
      </c>
      <c r="Q26" s="11" t="s">
        <v>299</v>
      </c>
      <c r="R26" s="11" t="s">
        <v>323</v>
      </c>
      <c r="S26" s="11" t="s">
        <v>213</v>
      </c>
      <c r="T26" s="11" t="s">
        <v>324</v>
      </c>
      <c r="U26" s="16" t="s">
        <v>325</v>
      </c>
      <c r="V26" s="11" t="s">
        <v>326</v>
      </c>
      <c r="W26" s="11" t="s">
        <v>327</v>
      </c>
      <c r="X26" s="11" t="s">
        <v>299</v>
      </c>
      <c r="Y26" s="11" t="s">
        <v>328</v>
      </c>
      <c r="Z26" s="12">
        <v>46135</v>
      </c>
      <c r="AA26" s="13">
        <v>0.70726820396801893</v>
      </c>
      <c r="AB26" s="13">
        <v>0.51174435922491024</v>
      </c>
      <c r="AC26" s="14" t="e">
        <v>#N/A</v>
      </c>
      <c r="AD26" s="15" t="s">
        <v>218</v>
      </c>
    </row>
    <row r="27" spans="1:30" x14ac:dyDescent="0.25">
      <c r="A27" s="5">
        <v>26</v>
      </c>
      <c r="B27" s="6" t="s">
        <v>329</v>
      </c>
      <c r="C27" s="7" t="s">
        <v>330</v>
      </c>
      <c r="D27" s="7" t="s">
        <v>330</v>
      </c>
      <c r="E27" s="7" t="s">
        <v>73</v>
      </c>
      <c r="F27" s="7" t="s">
        <v>126</v>
      </c>
      <c r="G27" s="8">
        <v>0</v>
      </c>
      <c r="H27" s="8">
        <v>0</v>
      </c>
      <c r="I27" s="8">
        <v>0</v>
      </c>
      <c r="J27" s="8">
        <v>0</v>
      </c>
      <c r="K27" s="8">
        <v>0</v>
      </c>
      <c r="L27" s="9">
        <v>0</v>
      </c>
      <c r="M27" s="8">
        <v>0</v>
      </c>
      <c r="N27" s="8">
        <v>0</v>
      </c>
      <c r="O27" s="8" t="s">
        <v>299</v>
      </c>
      <c r="P27" s="10">
        <v>0</v>
      </c>
      <c r="Q27" s="11" t="s">
        <v>299</v>
      </c>
      <c r="R27" s="11" t="s">
        <v>299</v>
      </c>
      <c r="S27" s="11" t="s">
        <v>213</v>
      </c>
      <c r="T27" s="11" t="s">
        <v>299</v>
      </c>
      <c r="U27" s="11" t="s">
        <v>299</v>
      </c>
      <c r="V27" s="11" t="s">
        <v>331</v>
      </c>
      <c r="W27" s="11" t="s">
        <v>332</v>
      </c>
      <c r="X27" s="11" t="s">
        <v>299</v>
      </c>
      <c r="Y27" s="11" t="s">
        <v>333</v>
      </c>
      <c r="Z27" s="12">
        <v>45982</v>
      </c>
      <c r="AA27" s="13" t="s">
        <v>205</v>
      </c>
      <c r="AB27" s="13" t="s">
        <v>205</v>
      </c>
      <c r="AC27" s="14" t="e">
        <v>#N/A</v>
      </c>
      <c r="AD27" s="15" t="s">
        <v>334</v>
      </c>
    </row>
    <row r="28" spans="1:30" x14ac:dyDescent="0.25">
      <c r="A28" s="5">
        <v>27</v>
      </c>
      <c r="B28" s="6" t="s">
        <v>335</v>
      </c>
      <c r="C28" s="7" t="s">
        <v>336</v>
      </c>
      <c r="D28" s="7" t="s">
        <v>336</v>
      </c>
      <c r="E28" s="7" t="s">
        <v>73</v>
      </c>
      <c r="F28" s="7" t="s">
        <v>126</v>
      </c>
      <c r="G28" s="8">
        <v>108.12905000000001</v>
      </c>
      <c r="H28" s="8">
        <v>10.812905000000001</v>
      </c>
      <c r="I28" s="8">
        <v>0</v>
      </c>
      <c r="J28" s="8">
        <v>10.812905000000001</v>
      </c>
      <c r="K28" s="8">
        <v>0</v>
      </c>
      <c r="L28" s="9">
        <v>97.316145000000006</v>
      </c>
      <c r="M28" s="8">
        <v>0</v>
      </c>
      <c r="N28" s="8">
        <v>0</v>
      </c>
      <c r="O28" s="8" t="s">
        <v>299</v>
      </c>
      <c r="P28" s="10">
        <v>0.1</v>
      </c>
      <c r="Q28" s="11" t="s">
        <v>299</v>
      </c>
      <c r="R28" s="11" t="s">
        <v>299</v>
      </c>
      <c r="S28" s="11" t="s">
        <v>238</v>
      </c>
      <c r="T28" s="11" t="s">
        <v>299</v>
      </c>
      <c r="U28" s="16" t="s">
        <v>337</v>
      </c>
      <c r="V28" s="11" t="s">
        <v>338</v>
      </c>
      <c r="W28" s="11" t="s">
        <v>135</v>
      </c>
      <c r="X28" s="11" t="s">
        <v>299</v>
      </c>
      <c r="Y28" s="11" t="s">
        <v>339</v>
      </c>
      <c r="Z28" s="12">
        <v>46128</v>
      </c>
      <c r="AA28" s="13" t="s">
        <v>205</v>
      </c>
      <c r="AB28" s="13" t="s">
        <v>205</v>
      </c>
      <c r="AC28" s="14" t="e">
        <v>#N/A</v>
      </c>
      <c r="AD28" s="15" t="s">
        <v>340</v>
      </c>
    </row>
    <row r="29" spans="1:30" x14ac:dyDescent="0.25">
      <c r="A29" s="5">
        <v>28</v>
      </c>
      <c r="B29" s="6" t="s">
        <v>341</v>
      </c>
      <c r="C29" s="7" t="s">
        <v>342</v>
      </c>
      <c r="D29" s="7" t="s">
        <v>343</v>
      </c>
      <c r="E29" s="7" t="s">
        <v>73</v>
      </c>
      <c r="F29" s="7" t="s">
        <v>87</v>
      </c>
      <c r="G29" s="8">
        <v>1640</v>
      </c>
      <c r="H29" s="8">
        <v>82</v>
      </c>
      <c r="I29" s="8">
        <v>80</v>
      </c>
      <c r="J29" s="8">
        <v>162</v>
      </c>
      <c r="K29" s="8">
        <v>97</v>
      </c>
      <c r="L29" s="9">
        <v>1558</v>
      </c>
      <c r="M29" s="8">
        <v>0</v>
      </c>
      <c r="N29" s="8">
        <v>0</v>
      </c>
      <c r="O29" s="18" t="s">
        <v>344</v>
      </c>
      <c r="P29" s="10">
        <v>0.05</v>
      </c>
      <c r="Q29" s="11" t="s">
        <v>345</v>
      </c>
      <c r="R29" s="11" t="s">
        <v>346</v>
      </c>
      <c r="S29" s="11" t="s">
        <v>347</v>
      </c>
      <c r="T29" s="11" t="s">
        <v>348</v>
      </c>
      <c r="U29" s="16" t="s">
        <v>349</v>
      </c>
      <c r="V29" s="11" t="s">
        <v>350</v>
      </c>
      <c r="W29" s="11" t="s">
        <v>351</v>
      </c>
      <c r="X29" s="11" t="s">
        <v>352</v>
      </c>
      <c r="Y29" s="11" t="s">
        <v>353</v>
      </c>
      <c r="Z29" s="12">
        <v>46129</v>
      </c>
      <c r="AA29" s="13">
        <v>0.19904691358024695</v>
      </c>
      <c r="AB29" s="13" t="s">
        <v>205</v>
      </c>
      <c r="AC29" s="14" t="s">
        <v>342</v>
      </c>
      <c r="AD29" s="15" t="s">
        <v>354</v>
      </c>
    </row>
    <row r="30" spans="1:30" x14ac:dyDescent="0.25">
      <c r="A30" s="5">
        <v>29</v>
      </c>
      <c r="B30" s="7" t="s">
        <v>355</v>
      </c>
      <c r="C30" s="7" t="s">
        <v>356</v>
      </c>
      <c r="D30" s="7" t="s">
        <v>357</v>
      </c>
      <c r="E30" s="7" t="s">
        <v>32</v>
      </c>
      <c r="F30" s="7" t="s">
        <v>358</v>
      </c>
      <c r="G30" s="8">
        <v>809.07864406779663</v>
      </c>
      <c r="H30" s="8">
        <v>258.39851240000007</v>
      </c>
      <c r="I30" s="8">
        <v>5</v>
      </c>
      <c r="J30" s="8">
        <v>263.39851240000007</v>
      </c>
      <c r="K30" s="8">
        <v>14.000000000000002</v>
      </c>
      <c r="L30" s="9">
        <v>550.68013166779656</v>
      </c>
      <c r="M30" s="8">
        <v>4.8781356000000002</v>
      </c>
      <c r="N30" s="8">
        <v>4.8781356000000002</v>
      </c>
      <c r="O30" s="8" t="s">
        <v>102</v>
      </c>
      <c r="P30" s="10">
        <v>0.31937378930291926</v>
      </c>
      <c r="Q30" s="11" t="s">
        <v>35</v>
      </c>
      <c r="R30" s="11" t="s">
        <v>359</v>
      </c>
      <c r="S30" s="11" t="e">
        <v>#N/A</v>
      </c>
      <c r="T30" s="11" t="s">
        <v>360</v>
      </c>
      <c r="U30" s="16" t="s">
        <v>361</v>
      </c>
      <c r="V30" s="11" t="s">
        <v>432</v>
      </c>
      <c r="W30" s="11" t="s">
        <v>432</v>
      </c>
      <c r="X30" s="11" t="s">
        <v>299</v>
      </c>
      <c r="Y30" s="11" t="s">
        <v>432</v>
      </c>
      <c r="Z30" s="12">
        <v>0</v>
      </c>
      <c r="AA30" s="13">
        <v>0.16148581410687934</v>
      </c>
      <c r="AB30" s="13">
        <v>0.53564420356445086</v>
      </c>
      <c r="AC30" s="14" t="s">
        <v>356</v>
      </c>
      <c r="AD30" s="15" t="s">
        <v>362</v>
      </c>
    </row>
    <row r="31" spans="1:30" x14ac:dyDescent="0.25">
      <c r="A31" s="5">
        <v>30</v>
      </c>
      <c r="B31" s="7" t="s">
        <v>363</v>
      </c>
      <c r="C31" s="7" t="s">
        <v>364</v>
      </c>
      <c r="D31" s="7" t="s">
        <v>365</v>
      </c>
      <c r="E31" s="7" t="s">
        <v>73</v>
      </c>
      <c r="F31" s="7" t="s">
        <v>126</v>
      </c>
      <c r="G31" s="8">
        <v>643.5</v>
      </c>
      <c r="H31" s="8">
        <v>0</v>
      </c>
      <c r="I31" s="8">
        <v>0</v>
      </c>
      <c r="J31" s="8">
        <v>0</v>
      </c>
      <c r="K31" s="8">
        <v>0</v>
      </c>
      <c r="L31" s="9">
        <v>643.5</v>
      </c>
      <c r="M31" s="8">
        <v>0</v>
      </c>
      <c r="N31" s="8">
        <v>0</v>
      </c>
      <c r="O31" s="8" t="s">
        <v>366</v>
      </c>
      <c r="P31" s="10">
        <v>0</v>
      </c>
      <c r="Q31" s="16" t="s">
        <v>367</v>
      </c>
      <c r="R31" s="11" t="s">
        <v>368</v>
      </c>
      <c r="S31" s="11" t="s">
        <v>369</v>
      </c>
      <c r="T31" s="11" t="s">
        <v>370</v>
      </c>
      <c r="U31" s="16" t="s">
        <v>371</v>
      </c>
      <c r="V31" s="11" t="s">
        <v>372</v>
      </c>
      <c r="W31" s="11" t="s">
        <v>373</v>
      </c>
      <c r="X31" s="11" t="s">
        <v>299</v>
      </c>
      <c r="Y31" s="11" t="s">
        <v>374</v>
      </c>
      <c r="Z31" s="12">
        <v>46146</v>
      </c>
      <c r="AA31" s="13" t="s">
        <v>205</v>
      </c>
      <c r="AB31" s="13" t="s">
        <v>205</v>
      </c>
      <c r="AC31" s="14" t="s">
        <v>364</v>
      </c>
      <c r="AD31" s="15" t="s">
        <v>171</v>
      </c>
    </row>
    <row r="32" spans="1:30" x14ac:dyDescent="0.25">
      <c r="A32" s="5">
        <v>31</v>
      </c>
      <c r="B32" s="7" t="s">
        <v>375</v>
      </c>
      <c r="C32" s="7" t="s">
        <v>376</v>
      </c>
      <c r="D32" s="7" t="s">
        <v>377</v>
      </c>
      <c r="E32" s="7" t="s">
        <v>73</v>
      </c>
      <c r="F32" s="7" t="s">
        <v>126</v>
      </c>
      <c r="G32" s="8">
        <v>96.595439999999996</v>
      </c>
      <c r="H32" s="8">
        <v>0</v>
      </c>
      <c r="I32" s="8">
        <v>0</v>
      </c>
      <c r="J32" s="8">
        <v>0</v>
      </c>
      <c r="K32" s="8">
        <v>0</v>
      </c>
      <c r="L32" s="9">
        <v>96.595439999999996</v>
      </c>
      <c r="M32" s="8">
        <v>0</v>
      </c>
      <c r="N32" s="8">
        <v>0</v>
      </c>
      <c r="O32" s="8" t="s">
        <v>378</v>
      </c>
      <c r="P32" s="10">
        <v>0</v>
      </c>
      <c r="Q32" s="11" t="s">
        <v>299</v>
      </c>
      <c r="R32" s="11" t="s">
        <v>379</v>
      </c>
      <c r="S32" s="11" t="s">
        <v>213</v>
      </c>
      <c r="T32" s="11" t="s">
        <v>299</v>
      </c>
      <c r="U32" s="16" t="s">
        <v>380</v>
      </c>
      <c r="V32" s="11" t="s">
        <v>381</v>
      </c>
      <c r="W32" s="11" t="s">
        <v>382</v>
      </c>
      <c r="X32" s="11" t="s">
        <v>299</v>
      </c>
      <c r="Y32" s="11" t="s">
        <v>383</v>
      </c>
      <c r="Z32" s="12">
        <v>46128</v>
      </c>
      <c r="AA32" s="13" t="s">
        <v>205</v>
      </c>
      <c r="AB32" s="13" t="s">
        <v>205</v>
      </c>
      <c r="AC32" s="14" t="s">
        <v>376</v>
      </c>
      <c r="AD32" s="15" t="s">
        <v>289</v>
      </c>
    </row>
    <row r="33" spans="1:30" x14ac:dyDescent="0.25">
      <c r="A33" s="5">
        <v>32</v>
      </c>
      <c r="B33" s="7" t="s">
        <v>384</v>
      </c>
      <c r="C33" s="7" t="s">
        <v>385</v>
      </c>
      <c r="D33" s="7" t="s">
        <v>386</v>
      </c>
      <c r="E33" s="7" t="s">
        <v>32</v>
      </c>
      <c r="F33" s="7" t="s">
        <v>234</v>
      </c>
      <c r="G33" s="8">
        <v>35.1</v>
      </c>
      <c r="H33" s="8">
        <v>0</v>
      </c>
      <c r="I33" s="8">
        <v>0</v>
      </c>
      <c r="J33" s="8">
        <v>0</v>
      </c>
      <c r="K33" s="8">
        <v>0</v>
      </c>
      <c r="L33" s="9">
        <v>35.1</v>
      </c>
      <c r="M33" s="8">
        <v>0</v>
      </c>
      <c r="N33" s="8">
        <v>0</v>
      </c>
      <c r="O33" s="8" t="s">
        <v>387</v>
      </c>
      <c r="P33" s="10">
        <v>0</v>
      </c>
      <c r="Q33" s="11" t="s">
        <v>163</v>
      </c>
      <c r="R33" s="11" t="s">
        <v>388</v>
      </c>
      <c r="S33" s="11" t="s">
        <v>238</v>
      </c>
      <c r="T33" s="11" t="s">
        <v>299</v>
      </c>
      <c r="U33" s="16" t="s">
        <v>389</v>
      </c>
      <c r="V33" s="11" t="s">
        <v>390</v>
      </c>
      <c r="W33" s="11" t="s">
        <v>391</v>
      </c>
      <c r="X33" s="11" t="s">
        <v>299</v>
      </c>
      <c r="Y33" s="11" t="s">
        <v>392</v>
      </c>
      <c r="Z33" s="12">
        <v>46142</v>
      </c>
      <c r="AA33" s="13" t="s">
        <v>205</v>
      </c>
      <c r="AB33" s="13" t="s">
        <v>205</v>
      </c>
      <c r="AC33" s="14" t="s">
        <v>385</v>
      </c>
      <c r="AD33" s="15" t="s">
        <v>244</v>
      </c>
    </row>
    <row r="34" spans="1:30" x14ac:dyDescent="0.25">
      <c r="A34" s="5">
        <v>33</v>
      </c>
      <c r="B34" s="7" t="s">
        <v>393</v>
      </c>
      <c r="C34" s="7" t="s">
        <v>394</v>
      </c>
      <c r="D34" s="7" t="s">
        <v>393</v>
      </c>
      <c r="E34" s="7" t="s">
        <v>73</v>
      </c>
      <c r="F34" s="7" t="s">
        <v>126</v>
      </c>
      <c r="G34" s="8">
        <v>417.49581000000001</v>
      </c>
      <c r="H34" s="8">
        <v>90.889420600000008</v>
      </c>
      <c r="I34" s="8">
        <v>0</v>
      </c>
      <c r="J34" s="8">
        <v>90.889420600000008</v>
      </c>
      <c r="K34" s="8">
        <v>107</v>
      </c>
      <c r="L34" s="9">
        <v>326.60638940000001</v>
      </c>
      <c r="M34" s="8">
        <v>0</v>
      </c>
      <c r="N34" s="8">
        <v>0</v>
      </c>
      <c r="O34" s="8" t="s">
        <v>395</v>
      </c>
      <c r="P34" s="10">
        <v>0.21770139585352966</v>
      </c>
      <c r="Q34" s="16" t="s">
        <v>396</v>
      </c>
      <c r="R34" s="11" t="s">
        <v>397</v>
      </c>
      <c r="S34" s="11" t="s">
        <v>398</v>
      </c>
      <c r="T34" s="11" t="s">
        <v>399</v>
      </c>
      <c r="U34" s="16" t="s">
        <v>400</v>
      </c>
      <c r="V34" s="11" t="s">
        <v>401</v>
      </c>
      <c r="W34" s="11" t="s">
        <v>402</v>
      </c>
      <c r="X34" s="11" t="s">
        <v>299</v>
      </c>
      <c r="Y34" s="11" t="s">
        <v>403</v>
      </c>
      <c r="Z34" s="12">
        <v>46146</v>
      </c>
      <c r="AA34" s="13">
        <v>0.38089999992804446</v>
      </c>
      <c r="AB34" s="13" t="s">
        <v>205</v>
      </c>
      <c r="AC34" s="14" t="s">
        <v>394</v>
      </c>
      <c r="AD34" s="15" t="s">
        <v>404</v>
      </c>
    </row>
    <row r="35" spans="1:30" x14ac:dyDescent="0.25">
      <c r="A35" s="5">
        <v>34</v>
      </c>
      <c r="B35" s="7" t="s">
        <v>405</v>
      </c>
      <c r="C35" s="7" t="s">
        <v>406</v>
      </c>
      <c r="D35" s="7" t="s">
        <v>407</v>
      </c>
      <c r="E35" s="7" t="s">
        <v>32</v>
      </c>
      <c r="F35" s="7" t="s">
        <v>33</v>
      </c>
      <c r="G35" s="8">
        <v>979.02</v>
      </c>
      <c r="H35" s="8">
        <v>0</v>
      </c>
      <c r="I35" s="8">
        <v>0</v>
      </c>
      <c r="J35" s="8">
        <v>0</v>
      </c>
      <c r="K35" s="8">
        <v>0</v>
      </c>
      <c r="L35" s="9">
        <v>979.02</v>
      </c>
      <c r="M35" s="8">
        <v>0</v>
      </c>
      <c r="N35" s="8">
        <v>0</v>
      </c>
      <c r="O35" s="8" t="s">
        <v>269</v>
      </c>
      <c r="P35" s="10">
        <v>0</v>
      </c>
      <c r="Q35" s="11" t="s">
        <v>35</v>
      </c>
      <c r="R35" s="11" t="s">
        <v>408</v>
      </c>
      <c r="S35" s="11" t="s">
        <v>409</v>
      </c>
      <c r="T35" s="11" t="s">
        <v>410</v>
      </c>
      <c r="U35" s="11" t="s">
        <v>411</v>
      </c>
      <c r="V35" s="11" t="s">
        <v>412</v>
      </c>
      <c r="W35" s="11" t="s">
        <v>413</v>
      </c>
      <c r="X35" s="11" t="s">
        <v>414</v>
      </c>
      <c r="Y35" s="11" t="s">
        <v>415</v>
      </c>
      <c r="Z35" s="12">
        <v>46142</v>
      </c>
      <c r="AA35" s="13" t="s">
        <v>205</v>
      </c>
      <c r="AB35" s="13" t="s">
        <v>205</v>
      </c>
      <c r="AC35" s="14" t="s">
        <v>406</v>
      </c>
      <c r="AD35" s="15" t="s">
        <v>416</v>
      </c>
    </row>
    <row r="36" spans="1:30" x14ac:dyDescent="0.25">
      <c r="A36" s="5">
        <v>35</v>
      </c>
      <c r="B36" s="7" t="s">
        <v>417</v>
      </c>
      <c r="C36" s="7" t="s">
        <v>418</v>
      </c>
      <c r="D36" s="7" t="s">
        <v>419</v>
      </c>
      <c r="E36" s="7" t="s">
        <v>32</v>
      </c>
      <c r="F36" s="7" t="s">
        <v>87</v>
      </c>
      <c r="G36" s="8">
        <v>662.95943999999997</v>
      </c>
      <c r="H36" s="8">
        <v>0</v>
      </c>
      <c r="I36" s="8">
        <v>0</v>
      </c>
      <c r="J36" s="8">
        <v>0</v>
      </c>
      <c r="K36" s="8">
        <v>0</v>
      </c>
      <c r="L36" s="9">
        <v>662.95943999999997</v>
      </c>
      <c r="M36" s="8">
        <v>0</v>
      </c>
      <c r="N36" s="8">
        <v>0</v>
      </c>
      <c r="O36" s="8" t="s">
        <v>60</v>
      </c>
      <c r="P36" s="10">
        <v>0</v>
      </c>
      <c r="Q36" s="11" t="s">
        <v>35</v>
      </c>
      <c r="R36" s="11" t="s">
        <v>420</v>
      </c>
      <c r="S36" s="11" t="e">
        <v>#N/A</v>
      </c>
      <c r="T36" s="11" t="s">
        <v>421</v>
      </c>
      <c r="U36" s="16" t="s">
        <v>422</v>
      </c>
      <c r="V36" s="11" t="s">
        <v>432</v>
      </c>
      <c r="W36" s="11" t="s">
        <v>432</v>
      </c>
      <c r="X36" s="11" t="s">
        <v>299</v>
      </c>
      <c r="Y36" s="11" t="s">
        <v>432</v>
      </c>
      <c r="Z36" s="12" t="e">
        <v>#N/A</v>
      </c>
      <c r="AA36" s="13" t="s">
        <v>205</v>
      </c>
      <c r="AB36" s="13" t="s">
        <v>205</v>
      </c>
      <c r="AC36" s="14" t="s">
        <v>418</v>
      </c>
      <c r="AD36" s="15" t="s">
        <v>423</v>
      </c>
    </row>
    <row r="37" spans="1:30" x14ac:dyDescent="0.25">
      <c r="A37" s="19">
        <v>36</v>
      </c>
      <c r="B37" s="20" t="s">
        <v>424</v>
      </c>
      <c r="C37" s="20" t="s">
        <v>425</v>
      </c>
      <c r="D37" s="20" t="s">
        <v>426</v>
      </c>
      <c r="E37" s="21" t="s">
        <v>32</v>
      </c>
      <c r="F37" s="20" t="s">
        <v>87</v>
      </c>
      <c r="G37" s="22">
        <v>1395.1654764000002</v>
      </c>
      <c r="H37" s="22">
        <v>0</v>
      </c>
      <c r="I37" s="22">
        <v>0</v>
      </c>
      <c r="J37" s="22">
        <v>0</v>
      </c>
      <c r="K37" s="22">
        <v>0</v>
      </c>
      <c r="L37" s="23">
        <v>1395.1654764000002</v>
      </c>
      <c r="M37" s="22">
        <v>0</v>
      </c>
      <c r="N37" s="22">
        <v>0</v>
      </c>
      <c r="O37" s="22" t="s">
        <v>102</v>
      </c>
      <c r="P37" s="24">
        <v>0</v>
      </c>
      <c r="Q37" s="25" t="s">
        <v>35</v>
      </c>
      <c r="R37" s="25" t="s">
        <v>427</v>
      </c>
      <c r="S37" s="25" t="e">
        <v>#N/A</v>
      </c>
      <c r="T37" s="25" t="s">
        <v>428</v>
      </c>
      <c r="U37" s="26" t="s">
        <v>429</v>
      </c>
      <c r="V37" s="25" t="s">
        <v>432</v>
      </c>
      <c r="W37" s="25" t="s">
        <v>432</v>
      </c>
      <c r="X37" s="25" t="s">
        <v>299</v>
      </c>
      <c r="Y37" s="25" t="s">
        <v>432</v>
      </c>
      <c r="Z37" s="27">
        <v>0</v>
      </c>
      <c r="AA37" s="28" t="s">
        <v>205</v>
      </c>
      <c r="AB37" s="28" t="s">
        <v>205</v>
      </c>
      <c r="AC37" s="29" t="s">
        <v>425</v>
      </c>
      <c r="AD37" s="30" t="s">
        <v>430</v>
      </c>
    </row>
  </sheetData>
  <conditionalFormatting sqref="T2:Y37 P2:R37">
    <cfRule type="dataBar" priority="1">
      <dataBar>
        <cfvo type="num" val="0"/>
        <cfvo type="num" val="1"/>
        <color rgb="FF008AEF"/>
      </dataBar>
      <extLst>
        <ext xmlns:x14="http://schemas.microsoft.com/office/spreadsheetml/2009/9/main" uri="{B025F937-C7B1-47D3-B67F-A62EFF666E3E}">
          <x14:id>{38519B6A-D33F-407C-B8D8-BFB80199953E}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8519B6A-D33F-407C-B8D8-BFB80199953E}">
            <x14:dataBar minLength="0" maxLength="100" border="1" negativeBarBorderColorSameAsPositive="0">
              <x14:cfvo type="num">
                <xm:f>0</xm:f>
              </x14:cfvo>
              <x14:cfvo type="num">
                <xm:f>1</xm:f>
              </x14:cfvo>
              <x14:borderColor rgb="FF008AEF"/>
              <x14:negativeFillColor rgb="FFFF0000"/>
              <x14:negativeBorderColor rgb="FFFF0000"/>
              <x14:axisColor rgb="FF000000"/>
            </x14:dataBar>
          </x14:cfRule>
          <xm:sqref>T2:Y37 P2:R37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AVDHOOT RAO</dc:creator>
  <cp:lastModifiedBy>AVDHOOT RAO</cp:lastModifiedBy>
  <dcterms:created xsi:type="dcterms:W3CDTF">2026-05-04T09:30:57Z</dcterms:created>
  <dcterms:modified xsi:type="dcterms:W3CDTF">2026-05-04T09:31:00Z</dcterms:modified>
</cp:coreProperties>
</file>