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E8335819-C01F-4C11-97E7-0E71EAB11DDF}" xr6:coauthVersionLast="47" xr6:coauthVersionMax="47" xr10:uidLastSave="{00000000-0000-0000-0000-000000000000}"/>
  <bookViews>
    <workbookView xWindow="-120" yWindow="-120" windowWidth="20730" windowHeight="11040" xr2:uid="{3E16BAF4-1A49-44CB-B54B-998D265778C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<sst xmlns="http://schemas.openxmlformats.org/spreadsheetml/2006/main" count="636" uniqueCount="417">
  <si>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</si>
  <si>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</si>
  <si>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</si>
  <si>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</si>
  <si>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</si>
  <si>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</si>
  <si>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</si>
  <si>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</si>
  <si>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</si>
  <si>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</si>
  <si>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</si>
  <si>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</si>
  <si>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</si>
  <si>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</si>
  <si>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</si>
  <si>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</si>
  <si>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</si>
  <si>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</si>
  <si>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</si>
  <si>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</si>
  <si>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</si>
  <si>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</si>
  <si>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</si>
  <si>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</si>
  <si>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</si>
  <si>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</si>
  <si>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</si>
  <si>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</si>
  <si>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</si>
  <si>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</si>
  <si>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</si>
  <si>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</si>
  <si>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</si>
  <si>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</si>
  <si>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</si>
  <si>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</si>
  <si>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</si>
  <si>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</si>
  <si>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</si>
  <si>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</si>
  <si>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</si>
  <si>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</si>
  <si>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</si>
  <si>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</si>
  <si>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</si>
  <si>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</si>
  <si>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</si>
  <si>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</si>
  <si>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</si>
  <si>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</si>
  <si>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</si>
  <si>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</si>
  <si>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3. Additional field in MIS data: CB fields added in production DB &amp; in form. 
4. New SBM Dashboard ver2.0 (SWM, UWM, Legacy waste &amp; Toilets): state coordinators to verify data of their states.
5. DRAP Action plan (Micro)- deployed at staging/production. Changes ongoing.
6. GFC Scoring module documentation: documentation ongoing.
7. Website updates ongoing: SBM Journey, Trash Tales, Banner Updated.
8. DRAP Dashboard : Changes ongoing as per feedback.
9. Swachh City : bug fixing ongoing.
10. SBM City Facilities mobile App: Compliance received for this app as well.
11. Whatsapp integration with Swachhata App: On Hold by Management.
12. ODF mobile app revamp completed, its under testing.
13. Plan shared to revamp MyToilet App
14. SSJ Dashboard developed, data merging to be done.
15. GFC &amp; ODF instance preparation for ADB</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</si>
  <si>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done.
4. Swachh City: Fixing ongoing for minor issues. 
5. Final Certificate awaited from Cert-In audit.
6. Swachhata Citizen App &amp; whatsapp integration
7. DRAP dashboard updation on the feedback from DS
8. MIS data : apply validation on fields : ongoing.
9. SSJ dashboard to be updated as per merged DB 
10. GFC &amp; ODF instance preparation for ADB
</t>
  </si>
  <si>
    <t>Angular, AWS Cloud, mySQl, Posgresql, NodeJS, Java, MongoDB, RESTAPI, HTML, PHP, MicroService, Quicksight,CSS, Flutter</t>
  </si>
  <si>
    <t xml:space="preserve">Major Challenges:
Need Replacement of Technical Team lead ASAP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</si>
  <si>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</si>
  <si>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</si>
  <si>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</si>
  <si>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</si>
  <si>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</si>
  <si>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</si>
  <si>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</si>
  <si>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</si>
  <si>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</si>
  <si>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</si>
  <si>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</si>
  <si>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</si>
  <si>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</si>
  <si>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</si>
  <si>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</si>
  <si>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</si>
  <si>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</si>
  <si>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</si>
  <si>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</si>
  <si>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</si>
  <si>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</si>
  <si>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</si>
  <si>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</si>
  <si>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</si>
  <si>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JAN &amp; FEB attendance approval received from WZU,
JAN FEB invoice is with PAO for payment. 
1. Functional testing for SEZ Import/export 
2. R&amp;R : VAPT initiated.
        Expected date for production: First week April 26
3. RTO : same as above 
4. CCR : same as above 
5. Bulk upload UI: expected prod date: 30th March 26</t>
  </si>
  <si>
    <t>Need to share signed copy of SLA Document with Client.
Start using new attendance software.
Getting deployment done on given time.</t>
  </si>
  <si>
    <t>Java Struts, For upgrade - TBD</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</si>
  <si>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</si>
  <si>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</si>
  <si>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</si>
  <si>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</si>
  <si>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</si>
  <si>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</si>
  <si>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</si>
  <si>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</si>
  <si>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</si>
  <si>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</si>
  <si>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</si>
  <si>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</si>
  <si>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</si>
  <si>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</si>
  <si>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</si>
  <si>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</si>
  <si>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</si>
  <si>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</si>
  <si>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</si>
  <si>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</si>
  <si>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</si>
  <si>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</si>
  <si>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</si>
  <si>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</si>
  <si>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</si>
  <si>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</si>
  <si>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</si>
  <si>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</si>
  <si>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</si>
  <si>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</si>
  <si>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</si>
  <si>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</si>
  <si>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</si>
  <si>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</si>
  <si>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</si>
  <si>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</si>
  <si>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Invoice processed from the client
Jan-Feb 26 : payment processing started at client end 
1] Krishi Mapper :
A. KM 2.0 : Development started for the user management for single login for multiple scheme.
B. KM 2.0 mobile APP : Development started for single login for multiple scheme
C. Polygon creation : Remove polygon creation for assets type scheme like M&amp;T, NMEO-OS/OP assets.
D. KM 2.0 server infrastructure : discussion is going for server infrastructure upgradation for optimized site.
E. Polygon creation : walk through the land and then create polygon....polygon area implemented.
F. State APIs : Soil health card API consumption in progress.
G. CIH Scheme onboard : development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</si>
  <si>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 xml:space="preserve">1. Offline mode for demonstration
2. KM2.0 Mobile APP development
3. KM 2.0 User management development
4. MP State API integration and do geo plotting and images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</si>
  <si>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</si>
  <si>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</si>
  <si>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</si>
  <si>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</si>
  <si>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</si>
  <si>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</si>
  <si>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</si>
  <si>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</si>
  <si>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</si>
  <si>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</si>
  <si>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</si>
  <si>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for Q1(April to June 25) &amp; Q2(July to Sep 25) released.
33 Manpower deployed as per client requirements.
ISO Certification Documents parts ready some points approval  are pending to client end for Audit.(Reminder 2 Letter submitted to client)
IT Equipment like server, Tape library &amp; switch and San storage AMC not start yet.(this is very critical,)-Pending from HO &amp; Purchase team &amp; Sales team.
SAN Storage issue pending long time but no solution received from HO and sales team. Q5(Nov.-Jan.26) Payment file not be processed for this issue. we are arranging quote from purchase for replace this devices as per RFP terms.</t>
  </si>
  <si>
    <t xml:space="preserve">Q-5(Nov.25 - Jan.26) Documents Work for billing is complete for submission to client.
Videowall repaired on 28th Nov. bill submitted to Insurance team for payment. (Hardcopy submitted for payment.(Follow-up mail drop to insurance team for payment)-Insurance team wants to clarification for payment process.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Done
Q5(Nov to Jan.) billing documents ready like Spiral and letter work for submission.
SAN storage Controller replacement PR done but Purchase team not release PO yet. </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</si>
  <si>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</si>
  <si>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</si>
  <si>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</si>
  <si>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</si>
  <si>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</si>
  <si>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</si>
  <si>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</si>
  <si>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</si>
  <si>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</si>
  <si>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</si>
  <si>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</si>
  <si>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</si>
  <si>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</si>
  <si>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</si>
  <si>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</si>
  <si>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</si>
  <si>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</si>
  <si>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</si>
  <si>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</si>
  <si>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</si>
  <si>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</si>
  <si>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</si>
  <si>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May/June 26 AMC payment has been successfully credited 
Remaining invoice in progress 
FOT PF gate configuration in progress 
Oli jetty work order yet to be received </t>
  </si>
  <si>
    <t xml:space="preserve">Follow up with NMPA for remaining payment release </t>
  </si>
  <si>
    <t>Prashant P</t>
  </si>
  <si>
    <t>Vadodara Traffic</t>
  </si>
  <si>
    <t>VADODARA VMC TRAFFIC</t>
  </si>
  <si>
    <t>SITC 4 Mths  &amp;  O&amp;M -  5 Yrs</t>
  </si>
  <si>
    <t>After SITC</t>
  </si>
  <si>
    <t>Start Date (PO) : 26-Feb-24 :: End Date (PO) : 25-Jun-29</t>
  </si>
  <si>
    <t>shared</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</si>
  <si>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</si>
  <si>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</si>
  <si>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</si>
  <si>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</si>
  <si>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17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</si>
  <si>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</si>
  <si>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</si>
  <si>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</si>
  <si>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</si>
  <si>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</si>
  <si>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</si>
  <si>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</si>
  <si>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</si>
  <si>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2.SLA maintained as per
3.Invoice process with Client
4. DR start date Finalization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</si>
  <si>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</si>
  <si>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</si>
  <si>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</si>
  <si>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</si>
  <si>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</si>
  <si>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</si>
  <si>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</si>
  <si>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</si>
  <si>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</si>
  <si>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</si>
  <si>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</si>
  <si>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</si>
  <si>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</si>
  <si>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</si>
  <si>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</si>
  <si>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</si>
  <si>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</si>
  <si>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</si>
  <si>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</si>
  <si>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</si>
  <si>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</si>
  <si>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Budgeting module development is in progress.
HRMS, we are working on PF bulk upload facility
SM and MM - Fixing the bugs.</t>
  </si>
  <si>
    <t>Planning to schedule a meeting with IREL CMD Sir.
Planning remove some ESDS servers.</t>
  </si>
  <si>
    <t>Core Java, BIRD tool, postgre, ESDS cloud</t>
  </si>
  <si>
    <t>No major risks other than IREL go-live concerns and payments to CMS.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</si>
  <si>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</si>
  <si>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</si>
  <si>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</si>
  <si>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</si>
  <si>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</si>
  <si>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</si>
  <si>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</si>
  <si>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</si>
  <si>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</si>
  <si>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</si>
  <si>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</si>
  <si>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t>
  </si>
  <si>
    <t xml:space="preserve">Challenges &amp; Risks:
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</si>
  <si>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</si>
  <si>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</si>
  <si>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</si>
  <si>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</si>
  <si>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</si>
  <si>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</si>
  <si>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</si>
  <si>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</si>
  <si>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</si>
  <si>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2 Candidates Documentation process is in progress for Training.
4 Candidate is lined up for interview this week.
February,2026 Invoice submitted</t>
  </si>
  <si>
    <t xml:space="preserve">Daily 2 candidates Interview for this week
Salary Attendance consolidation
HRMS Database update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</si>
  <si>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</si>
  <si>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</si>
  <si>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</si>
  <si>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</si>
  <si>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</si>
  <si>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</si>
  <si>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</si>
  <si>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</si>
  <si>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</si>
  <si>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</si>
  <si>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</si>
  <si>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infrastructure, cloud setup &amp; EMS/EEMS software – Fully completed and operational
Substation &amp; SCADA integration – Partially completed, pending fiber connectivity and network hardware
ABT meters – Installed but not integrated, awaiting approvals and CT connectivity finalization
Billing meters – Communication established (1 meter), remaining modem installations in progress
Water meters – Partially completed, few installed &amp; tested, rest pending site readiness
Major dependencies: JNPA approvals, network (OFC/switches), and third-party coordination (GE, RailTel, Water Dept.)</t>
  </si>
  <si>
    <t>Completion of the modem communication for water and electricity meters .</t>
  </si>
  <si>
    <t>PostgreSQL, DLMS, MODBUS, GPRS, Python, DotNet MVC</t>
  </si>
  <si>
    <t>Dependency on JNPA approvals delaying ABT meter integration
Pending OFC / network infrastructure (RailTel, switches) impacting communication readiness
SCADA data sharing from GE is chargeable, may affect integration approach
Third-party coordination delays (GE, RailTel, Water Department)
CT core availability &amp; approval for ABT meter connectivity
Risk in alternative independent network architecture if SCADA data not shared</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</si>
  <si>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</si>
  <si>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</si>
  <si>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</si>
  <si>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</si>
  <si>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</si>
  <si>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</si>
  <si>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</si>
  <si>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</si>
  <si>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</si>
  <si>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</si>
  <si>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The PRISM-SG Portal has been successfully launched to digitize and accelerate approval processes for ROBs in highway and railway projects, by Hon’ble Ministers Nitin Gadkari and Hon’ble Ministers Ashwini Vaisnav
🎉
Great teamwork and dedication
Second phase completed: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
</t>
  </si>
  <si>
    <t xml:space="preserve">Register Should enable once QAP Approved
WPSS Forms Condition
RDSO Certificate In Hindi
Action Button Should display in Row
My Project Listing based on Colour Combination
Dashboard Notification
</t>
  </si>
  <si>
    <t>JAVA 20, Springboot, PostgreSql, React, AWS Cloud, Microservices, Postman, Apache Tomcat webserver, SSL, Oauth, AWS ECS</t>
  </si>
  <si>
    <t>Continuous Requirement Changes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</si>
  <si>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</si>
  <si>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</si>
  <si>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</si>
  <si>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</si>
  <si>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</si>
  <si>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</si>
  <si>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Legacy Application Migration</t>
  </si>
  <si>
    <t>CNG/PNG Gaspipeline and Fuel Station Organisation Onboarding</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</si>
  <si>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</si>
  <si>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</si>
  <si>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</si>
  <si>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</si>
  <si>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</si>
  <si>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</si>
  <si>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</si>
  <si>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</si>
  <si>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</si>
  <si>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</si>
  <si>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</si>
  <si>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</si>
  <si>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</si>
  <si>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</si>
  <si>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</si>
  <si>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</si>
  <si>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</si>
  <si>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</si>
  <si>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</si>
  <si>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</si>
  <si>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</si>
  <si>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</si>
  <si>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</si>
  <si>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</si>
  <si>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</si>
  <si>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</si>
  <si>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</si>
  <si>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</si>
  <si>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</si>
  <si>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</si>
  <si>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</si>
  <si>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</si>
  <si>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</si>
  <si>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</si>
  <si>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</si>
  <si>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</si>
  <si>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</si>
  <si>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</si>
  <si>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</si>
  <si>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</si>
  <si>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</si>
  <si>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</si>
  <si>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</si>
  <si>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</si>
  <si>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</si>
  <si>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</si>
  <si>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</si>
  <si>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</si>
  <si>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</si>
  <si>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</si>
  <si>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</si>
  <si>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</si>
  <si>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</si>
  <si>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</si>
  <si>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</si>
  <si>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</si>
  <si>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</si>
  <si>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</si>
  <si>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</si>
  <si>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</si>
  <si>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</si>
  <si>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</si>
  <si>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</si>
  <si>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</si>
  <si>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</si>
  <si>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</si>
  <si>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</si>
  <si>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</si>
  <si>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</si>
  <si>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</si>
  <si>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</si>
  <si>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</si>
  <si>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</si>
  <si>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</si>
  <si>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</si>
  <si>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</si>
  <si>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</si>
  <si>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</si>
  <si>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</si>
  <si>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</si>
  <si>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</si>
  <si>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</si>
  <si>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</si>
  <si>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</si>
  <si>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</si>
  <si>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</si>
  <si>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</si>
  <si>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</si>
  <si>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</si>
  <si>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</si>
  <si>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</si>
  <si>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</si>
  <si>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</si>
  <si>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</si>
  <si>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</si>
  <si>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</si>
  <si>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</si>
  <si>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</si>
  <si>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</si>
  <si>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</si>
  <si>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</si>
  <si>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</si>
  <si>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</si>
  <si>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2 no ( One deployment is done one is under process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</si>
  <si>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</si>
  <si>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</si>
  <si>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PBG submission done 
Project survey done
9 no location approved by Client
Civil vendor finalization done 
Material procurements under process 
 </t>
  </si>
  <si>
    <t xml:space="preserve">Start civil activity 
Material follows with Purchase team 
Balance 6 no location finalization with Client </t>
  </si>
  <si>
    <t xml:space="preserve">LED material delivery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</si>
  <si>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</si>
  <si>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</si>
  <si>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</si>
  <si>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</si>
  <si>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</si>
  <si>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</si>
  <si>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</si>
  <si>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</si>
  <si>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</si>
  <si>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</si>
  <si>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</si>
  <si>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</si>
  <si>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</si>
  <si>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</si>
  <si>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</si>
  <si>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</si>
  <si>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clearance of dependencies from client end, CMS will take the task further.</t>
  </si>
  <si>
    <t>Pending hardware installation by NLC delaying integration of remaining Unit-3 meters
Dependency on site readiness before mobilization for further integration activities
Delay in AGC signal integration due to incomplete hardware setup
Possible rework / revalidation effort after final hardware commissioning
Coordination gap risk between hardware completion and software deployment timing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</si>
  <si>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</si>
  <si>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</si>
  <si>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</si>
  <si>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</si>
  <si>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</si>
  <si>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filed person and Vadodara share resource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</si>
  <si>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</si>
  <si>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</si>
  <si>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1Make Model document submitted for approval
2. Man power deployment done
3. Agreement submitted 
4. 6 no junction survey done
5. Material delivery approval received </t>
  </si>
  <si>
    <t xml:space="preserve">1. Material delivery and Billing 
2. PBG submission 
3. Start Civil activity. </t>
  </si>
  <si>
    <t xml:space="preserve">Finalization of 3 no junction 
Traffic light delivery 
CL pole delivery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</si>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</sst>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5BFFD8F9-99F9-40D1-9CB8-A7F9F64CD54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BE742-CBC7-4358-9927-073788BC03A6}">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110.00000000000001</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46107</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314.70888319999989</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1134.2955850000001</v>
      </c>
      <c r="N5" s="8">
        <v>184.06108499999999</v>
      </c>
      <c r="O5" s="8" t="s">
        <v>74</v>
      </c>
      <c r="P5" s="10">
        <v>0.47007184547534925</v>
      </c>
      <c r="Q5" s="11" t="s">
        <v>75</v>
      </c>
      <c r="R5" s="11" t="s">
        <v>76</v>
      </c>
      <c r="S5" s="11" t="s">
        <v>77</v>
      </c>
      <c r="T5" s="11" t="s">
        <v>78</v>
      </c>
      <c r="U5" s="11" t="s">
        <v>79</v>
      </c>
      <c r="V5" s="11" t="s">
        <v>80</v>
      </c>
      <c r="W5" s="11" t="s">
        <v>81</v>
      </c>
      <c r="X5" s="11" t="s">
        <v>82</v>
      </c>
      <c r="Y5" s="11">
        <v>0</v>
      </c>
      <c r="Z5" s="12">
        <v>46107</v>
      </c>
      <c r="AA5" s="13">
        <v>0.38422114633480831</v>
      </c>
      <c r="AB5" s="13">
        <v>0.33027289323308273</v>
      </c>
      <c r="AC5" s="14" t="s">
        <v>71</v>
      </c>
      <c r="AD5" s="15" t="s">
        <v>83</v>
      </c>
    </row>
    <row r="6" spans="1:30" x14ac:dyDescent="0.25">
      <c r="A6" s="5">
        <v>5</v>
      </c>
      <c r="B6" s="6" t="s">
        <v>84</v>
      </c>
      <c r="C6" s="7" t="s">
        <v>85</v>
      </c>
      <c r="D6" s="7" t="s">
        <v>85</v>
      </c>
      <c r="E6" s="7" t="s">
        <v>32</v>
      </c>
      <c r="F6" s="7" t="s">
        <v>86</v>
      </c>
      <c r="G6" s="8">
        <v>1265.69472</v>
      </c>
      <c r="H6" s="8">
        <v>622.09375</v>
      </c>
      <c r="I6" s="8">
        <v>0</v>
      </c>
      <c r="J6" s="8">
        <v>622.09375</v>
      </c>
      <c r="K6" s="8">
        <v>147</v>
      </c>
      <c r="L6" s="9">
        <v>643.60096999999996</v>
      </c>
      <c r="M6" s="8">
        <v>186.62812500000001</v>
      </c>
      <c r="N6" s="8">
        <v>0</v>
      </c>
      <c r="O6" s="8" t="s">
        <v>87</v>
      </c>
      <c r="P6" s="10">
        <v>0.49150378852808996</v>
      </c>
      <c r="Q6" s="11" t="s">
        <v>88</v>
      </c>
      <c r="R6" s="11" t="s">
        <v>89</v>
      </c>
      <c r="S6" s="11" t="s">
        <v>90</v>
      </c>
      <c r="T6" s="11" t="s">
        <v>91</v>
      </c>
      <c r="U6" s="11" t="s">
        <v>92</v>
      </c>
      <c r="V6" s="11" t="s">
        <v>93</v>
      </c>
      <c r="W6" s="11" t="s">
        <v>94</v>
      </c>
      <c r="X6" s="16" t="s">
        <v>95</v>
      </c>
      <c r="Y6" s="11" t="s">
        <v>96</v>
      </c>
      <c r="Z6" s="12">
        <v>46101</v>
      </c>
      <c r="AA6" s="13">
        <v>-1.3235338173171916</v>
      </c>
      <c r="AB6" s="13">
        <v>0.15352074241150571</v>
      </c>
      <c r="AC6" s="14" t="s">
        <v>85</v>
      </c>
      <c r="AD6" s="15" t="s">
        <v>97</v>
      </c>
    </row>
    <row r="7" spans="1:30" x14ac:dyDescent="0.25">
      <c r="A7" s="5">
        <v>6</v>
      </c>
      <c r="B7" s="6" t="s">
        <v>98</v>
      </c>
      <c r="C7" s="7" t="s">
        <v>99</v>
      </c>
      <c r="D7" s="7" t="s">
        <v>100</v>
      </c>
      <c r="E7" s="7" t="s">
        <v>32</v>
      </c>
      <c r="F7" s="7" t="s">
        <v>86</v>
      </c>
      <c r="G7" s="8">
        <v>2186.2800000000002</v>
      </c>
      <c r="H7" s="8">
        <v>676.2</v>
      </c>
      <c r="I7" s="8">
        <v>33</v>
      </c>
      <c r="J7" s="8">
        <v>709.2</v>
      </c>
      <c r="K7" s="8">
        <v>554</v>
      </c>
      <c r="L7" s="9">
        <v>1510.0800000000002</v>
      </c>
      <c r="M7" s="8">
        <v>676.2</v>
      </c>
      <c r="N7" s="8">
        <v>0</v>
      </c>
      <c r="O7" s="8" t="s">
        <v>101</v>
      </c>
      <c r="P7" s="10">
        <v>0.3092924968439541</v>
      </c>
      <c r="Q7" s="11" t="s">
        <v>102</v>
      </c>
      <c r="R7" s="11" t="s">
        <v>103</v>
      </c>
      <c r="S7" s="11" t="s">
        <v>104</v>
      </c>
      <c r="T7" s="11" t="s">
        <v>105</v>
      </c>
      <c r="U7" s="11" t="s">
        <v>106</v>
      </c>
      <c r="V7" s="11" t="s">
        <v>107</v>
      </c>
      <c r="W7" s="11" t="s">
        <v>108</v>
      </c>
      <c r="X7" s="11" t="s">
        <v>109</v>
      </c>
      <c r="Y7" s="11" t="s">
        <v>110</v>
      </c>
      <c r="Z7" s="12">
        <v>46108</v>
      </c>
      <c r="AA7" s="13">
        <v>0.16837534005816046</v>
      </c>
      <c r="AB7" s="13">
        <v>0.32590705634920647</v>
      </c>
      <c r="AC7" s="14" t="s">
        <v>99</v>
      </c>
      <c r="AD7" s="15" t="s">
        <v>111</v>
      </c>
    </row>
    <row r="8" spans="1:30" x14ac:dyDescent="0.25">
      <c r="A8" s="5">
        <v>7</v>
      </c>
      <c r="B8" s="6" t="s">
        <v>112</v>
      </c>
      <c r="C8" s="7" t="s">
        <v>113</v>
      </c>
      <c r="D8" s="7" t="s">
        <v>114</v>
      </c>
      <c r="E8" s="7" t="s">
        <v>32</v>
      </c>
      <c r="F8" s="7" t="s">
        <v>33</v>
      </c>
      <c r="G8" s="8">
        <v>1606.08</v>
      </c>
      <c r="H8" s="8">
        <v>891.7643324999998</v>
      </c>
      <c r="I8" s="8">
        <v>268</v>
      </c>
      <c r="J8" s="8">
        <v>1159.7643324999999</v>
      </c>
      <c r="K8" s="8">
        <v>5</v>
      </c>
      <c r="L8" s="9">
        <v>714.31566750000013</v>
      </c>
      <c r="M8" s="8">
        <v>780.23872700000004</v>
      </c>
      <c r="N8" s="8">
        <v>260.10780199999999</v>
      </c>
      <c r="O8" s="8" t="s">
        <v>60</v>
      </c>
      <c r="P8" s="10">
        <v>0.55524278522863113</v>
      </c>
      <c r="Q8" s="11" t="s">
        <v>35</v>
      </c>
      <c r="R8" s="11" t="s">
        <v>115</v>
      </c>
      <c r="S8" s="11" t="s">
        <v>116</v>
      </c>
      <c r="T8" s="11" t="s">
        <v>117</v>
      </c>
      <c r="U8" s="11" t="s">
        <v>118</v>
      </c>
      <c r="V8" s="11" t="s">
        <v>119</v>
      </c>
      <c r="W8" s="11" t="s">
        <v>120</v>
      </c>
      <c r="X8" s="11" t="s">
        <v>121</v>
      </c>
      <c r="Y8" s="11" t="s">
        <v>122</v>
      </c>
      <c r="Z8" s="12">
        <v>46100</v>
      </c>
      <c r="AA8" s="13">
        <v>0.21897346856332345</v>
      </c>
      <c r="AB8" s="13">
        <v>0.10999999996973608</v>
      </c>
      <c r="AC8" s="14" t="s">
        <v>113</v>
      </c>
      <c r="AD8" s="15" t="s">
        <v>123</v>
      </c>
    </row>
    <row r="9" spans="1:30" x14ac:dyDescent="0.25">
      <c r="A9" s="5">
        <v>8</v>
      </c>
      <c r="B9" s="6" t="s">
        <v>124</v>
      </c>
      <c r="C9" s="7" t="s">
        <v>124</v>
      </c>
      <c r="D9" s="7" t="s">
        <v>124</v>
      </c>
      <c r="E9" s="7" t="s">
        <v>73</v>
      </c>
      <c r="F9" s="7" t="s">
        <v>125</v>
      </c>
      <c r="G9" s="8">
        <v>1372.5805700000001</v>
      </c>
      <c r="H9" s="8">
        <v>463.31861560000004</v>
      </c>
      <c r="I9" s="8">
        <v>33</v>
      </c>
      <c r="J9" s="8">
        <v>496.31861560000004</v>
      </c>
      <c r="K9" s="8">
        <v>192</v>
      </c>
      <c r="L9" s="9">
        <v>909.26195440000004</v>
      </c>
      <c r="M9" s="8">
        <v>107.50118679999999</v>
      </c>
      <c r="N9" s="8">
        <v>0</v>
      </c>
      <c r="O9" s="8" t="s">
        <v>126</v>
      </c>
      <c r="P9" s="10">
        <v>0.33755294641829298</v>
      </c>
      <c r="Q9" s="11" t="s">
        <v>127</v>
      </c>
      <c r="R9" s="11" t="s">
        <v>128</v>
      </c>
      <c r="S9" s="11" t="s">
        <v>129</v>
      </c>
      <c r="T9" s="11" t="s">
        <v>130</v>
      </c>
      <c r="U9" s="11" t="s">
        <v>131</v>
      </c>
      <c r="V9" s="11" t="s">
        <v>132</v>
      </c>
      <c r="W9" s="11" t="s">
        <v>133</v>
      </c>
      <c r="X9" s="11" t="s">
        <v>134</v>
      </c>
      <c r="Y9" s="11" t="s">
        <v>135</v>
      </c>
      <c r="Z9" s="12">
        <v>46106</v>
      </c>
      <c r="AA9" s="13">
        <v>2.3874093233741456E-2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1017</v>
      </c>
      <c r="J10" s="8">
        <v>4829.5</v>
      </c>
      <c r="K10" s="8">
        <v>1043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46107</v>
      </c>
      <c r="AA10" s="13">
        <v>0.38866015446156854</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337.18403010000014</v>
      </c>
      <c r="I11" s="8">
        <v>16</v>
      </c>
      <c r="J11" s="8">
        <v>353.18403010000014</v>
      </c>
      <c r="K11" s="8">
        <v>89</v>
      </c>
      <c r="L11" s="9">
        <v>343.50891489999987</v>
      </c>
      <c r="M11" s="8">
        <v>118.0793049</v>
      </c>
      <c r="N11" s="8">
        <v>15.983883400000002</v>
      </c>
      <c r="O11" s="8" t="s">
        <v>152</v>
      </c>
      <c r="P11" s="10">
        <v>0.49535408377120782</v>
      </c>
      <c r="Q11" s="11" t="s">
        <v>35</v>
      </c>
      <c r="R11" s="11" t="s">
        <v>153</v>
      </c>
      <c r="S11" s="11" t="s">
        <v>37</v>
      </c>
      <c r="T11" s="11" t="s">
        <v>154</v>
      </c>
      <c r="U11" s="11" t="s">
        <v>155</v>
      </c>
      <c r="V11" s="11" t="s">
        <v>156</v>
      </c>
      <c r="W11" s="11" t="s">
        <v>157</v>
      </c>
      <c r="X11" s="11" t="s">
        <v>134</v>
      </c>
      <c r="Y11" s="11">
        <v>0</v>
      </c>
      <c r="Z11" s="12">
        <v>46100</v>
      </c>
      <c r="AA11" s="13">
        <v>0.42644769657412818</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134</v>
      </c>
      <c r="Y12" s="11" t="s">
        <v>169</v>
      </c>
      <c r="Z12" s="12">
        <v>46101</v>
      </c>
      <c r="AA12" s="13">
        <v>1.5699194468721811E-2</v>
      </c>
      <c r="AB12" s="13">
        <v>0.18000000439604424</v>
      </c>
      <c r="AC12" s="14" t="s">
        <v>160</v>
      </c>
      <c r="AD12" s="15" t="s">
        <v>170</v>
      </c>
    </row>
    <row r="13" spans="1:30" x14ac:dyDescent="0.25">
      <c r="A13" s="5">
        <v>12</v>
      </c>
      <c r="B13" s="6" t="s">
        <v>171</v>
      </c>
      <c r="C13" s="7" t="s">
        <v>172</v>
      </c>
      <c r="D13" s="7" t="s">
        <v>171</v>
      </c>
      <c r="E13" s="7" t="s">
        <v>73</v>
      </c>
      <c r="F13" s="7" t="s">
        <v>125</v>
      </c>
      <c r="G13" s="8">
        <v>2019.8763390000001</v>
      </c>
      <c r="H13" s="8">
        <v>493.68378150000001</v>
      </c>
      <c r="I13" s="8">
        <v>0</v>
      </c>
      <c r="J13" s="8">
        <v>493.68378150000001</v>
      </c>
      <c r="K13" s="8">
        <v>0</v>
      </c>
      <c r="L13" s="9">
        <v>1526.1925575</v>
      </c>
      <c r="M13" s="8">
        <v>332.84704210000001</v>
      </c>
      <c r="N13" s="8">
        <v>0</v>
      </c>
      <c r="O13" s="8" t="s">
        <v>152</v>
      </c>
      <c r="P13" s="10">
        <v>0.24441287417843255</v>
      </c>
      <c r="Q13" s="11" t="s">
        <v>75</v>
      </c>
      <c r="R13" s="11" t="s">
        <v>173</v>
      </c>
      <c r="S13" s="11" t="s">
        <v>174</v>
      </c>
      <c r="T13" s="11" t="s">
        <v>175</v>
      </c>
      <c r="U13" s="11" t="s">
        <v>176</v>
      </c>
      <c r="V13" s="11" t="s">
        <v>177</v>
      </c>
      <c r="W13" s="11" t="s">
        <v>178</v>
      </c>
      <c r="X13" s="11" t="s">
        <v>134</v>
      </c>
      <c r="Y13" s="11" t="s">
        <v>179</v>
      </c>
      <c r="Z13" s="12">
        <v>46101</v>
      </c>
      <c r="AA13" s="13">
        <v>0.20489999994930141</v>
      </c>
      <c r="AB13" s="13">
        <v>0.2046391013686556</v>
      </c>
      <c r="AC13" s="14" t="s">
        <v>172</v>
      </c>
      <c r="AD13" s="15" t="s">
        <v>170</v>
      </c>
    </row>
    <row r="14" spans="1:30" x14ac:dyDescent="0.25">
      <c r="A14" s="5">
        <v>13</v>
      </c>
      <c r="B14" s="6" t="s">
        <v>180</v>
      </c>
      <c r="C14" s="7" t="s">
        <v>181</v>
      </c>
      <c r="D14" s="7" t="s">
        <v>182</v>
      </c>
      <c r="E14" s="7" t="s">
        <v>73</v>
      </c>
      <c r="F14" s="7" t="s">
        <v>125</v>
      </c>
      <c r="G14" s="8">
        <v>2903.04126</v>
      </c>
      <c r="H14" s="8">
        <v>1815.6838297000006</v>
      </c>
      <c r="I14" s="8">
        <v>0</v>
      </c>
      <c r="J14" s="8">
        <v>1815.6838297000006</v>
      </c>
      <c r="K14" s="8">
        <v>936.99999999999989</v>
      </c>
      <c r="L14" s="9">
        <v>1087.3574302999994</v>
      </c>
      <c r="M14" s="8">
        <v>148.47451000000001</v>
      </c>
      <c r="N14" s="8">
        <v>87.436589999999995</v>
      </c>
      <c r="O14" s="8" t="s">
        <v>183</v>
      </c>
      <c r="P14" s="10">
        <v>0.62544196485171577</v>
      </c>
      <c r="Q14" s="11" t="s">
        <v>75</v>
      </c>
      <c r="R14" s="11" t="s">
        <v>184</v>
      </c>
      <c r="S14" s="11" t="s">
        <v>185</v>
      </c>
      <c r="T14" s="11" t="s">
        <v>186</v>
      </c>
      <c r="U14" s="11" t="s">
        <v>187</v>
      </c>
      <c r="V14" s="11" t="s">
        <v>188</v>
      </c>
      <c r="W14" s="11" t="s">
        <v>189</v>
      </c>
      <c r="X14" s="11" t="s">
        <v>134</v>
      </c>
      <c r="Y14" s="11" t="s">
        <v>190</v>
      </c>
      <c r="Z14" s="12">
        <v>46100</v>
      </c>
      <c r="AA14" s="13">
        <v>-1.5829529397463094</v>
      </c>
      <c r="AB14" s="13">
        <v>-0.204144834903355</v>
      </c>
      <c r="AC14" s="14" t="s">
        <v>181</v>
      </c>
      <c r="AD14" s="15" t="s">
        <v>191</v>
      </c>
    </row>
    <row r="15" spans="1:30" x14ac:dyDescent="0.25">
      <c r="A15" s="5">
        <v>14</v>
      </c>
      <c r="B15" s="6" t="s">
        <v>192</v>
      </c>
      <c r="C15" s="7" t="s">
        <v>193</v>
      </c>
      <c r="D15" s="7" t="s">
        <v>193</v>
      </c>
      <c r="E15" s="7" t="s">
        <v>73</v>
      </c>
      <c r="F15" s="7" t="s">
        <v>86</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46100</v>
      </c>
      <c r="AA15" s="13" t="s">
        <v>204</v>
      </c>
      <c r="AB15" s="13">
        <v>-9.5509698226650848</v>
      </c>
      <c r="AC15" s="14" t="s">
        <v>193</v>
      </c>
      <c r="AD15" s="15" t="s">
        <v>205</v>
      </c>
    </row>
    <row r="16" spans="1:30" x14ac:dyDescent="0.25">
      <c r="A16" s="5">
        <v>15</v>
      </c>
      <c r="B16" s="6" t="s">
        <v>206</v>
      </c>
      <c r="C16" s="7" t="s">
        <v>207</v>
      </c>
      <c r="D16" s="7" t="s">
        <v>206</v>
      </c>
      <c r="E16" s="7" t="s">
        <v>208</v>
      </c>
      <c r="F16" s="7" t="s">
        <v>125</v>
      </c>
      <c r="G16" s="8">
        <v>669.18430290000003</v>
      </c>
      <c r="H16" s="8">
        <v>666.07277790000012</v>
      </c>
      <c r="I16" s="8">
        <v>0</v>
      </c>
      <c r="J16" s="8">
        <v>666.07277790000012</v>
      </c>
      <c r="K16" s="8">
        <v>257</v>
      </c>
      <c r="L16" s="9">
        <v>3.1115249999999151</v>
      </c>
      <c r="M16" s="8">
        <v>350.91840500000001</v>
      </c>
      <c r="N16" s="8">
        <v>0</v>
      </c>
      <c r="O16" s="8" t="s">
        <v>209</v>
      </c>
      <c r="P16" s="10">
        <v>0.99535027198558645</v>
      </c>
      <c r="Q16" s="16" t="s">
        <v>210</v>
      </c>
      <c r="R16" s="11" t="s">
        <v>211</v>
      </c>
      <c r="S16" s="11" t="s">
        <v>212</v>
      </c>
      <c r="T16" s="11" t="s">
        <v>198</v>
      </c>
      <c r="U16" s="11" t="s">
        <v>213</v>
      </c>
      <c r="V16" s="11" t="s">
        <v>214</v>
      </c>
      <c r="W16" s="11" t="s">
        <v>215</v>
      </c>
      <c r="X16" s="11" t="s">
        <v>134</v>
      </c>
      <c r="Y16" s="11" t="s">
        <v>216</v>
      </c>
      <c r="Z16" s="12">
        <v>46100</v>
      </c>
      <c r="AA16" s="13" t="s">
        <v>204</v>
      </c>
      <c r="AB16" s="13">
        <v>0.20000000003501683</v>
      </c>
      <c r="AC16" s="14" t="s">
        <v>207</v>
      </c>
      <c r="AD16" s="15" t="s">
        <v>217</v>
      </c>
    </row>
    <row r="17" spans="1:30" x14ac:dyDescent="0.25">
      <c r="A17" s="5">
        <v>16</v>
      </c>
      <c r="B17" s="6" t="s">
        <v>218</v>
      </c>
      <c r="C17" s="7" t="s">
        <v>219</v>
      </c>
      <c r="D17" s="7" t="s">
        <v>220</v>
      </c>
      <c r="E17" s="7" t="s">
        <v>73</v>
      </c>
      <c r="F17" s="7" t="s">
        <v>125</v>
      </c>
      <c r="G17" s="8">
        <v>218.58204000000001</v>
      </c>
      <c r="H17" s="8">
        <v>214.21039920000001</v>
      </c>
      <c r="I17" s="8">
        <v>71</v>
      </c>
      <c r="J17" s="8">
        <v>285.21039919999998</v>
      </c>
      <c r="K17" s="8">
        <v>270</v>
      </c>
      <c r="L17" s="9">
        <v>4.3716407999999944</v>
      </c>
      <c r="M17" s="8">
        <v>214.21039920000001</v>
      </c>
      <c r="N17" s="8">
        <v>71.840630500000003</v>
      </c>
      <c r="O17" s="8" t="s">
        <v>221</v>
      </c>
      <c r="P17" s="10">
        <v>0.98</v>
      </c>
      <c r="Q17" s="11" t="s">
        <v>35</v>
      </c>
      <c r="R17" s="11" t="s">
        <v>222</v>
      </c>
      <c r="S17" s="11" t="s">
        <v>223</v>
      </c>
      <c r="T17" s="11" t="s">
        <v>224</v>
      </c>
      <c r="U17" s="11" t="s">
        <v>225</v>
      </c>
      <c r="V17" s="11" t="s">
        <v>226</v>
      </c>
      <c r="W17" s="11" t="s">
        <v>227</v>
      </c>
      <c r="X17" s="11" t="s">
        <v>134</v>
      </c>
      <c r="Y17" s="11" t="s">
        <v>228</v>
      </c>
      <c r="Z17" s="12">
        <v>46107</v>
      </c>
      <c r="AA17" s="13">
        <v>1</v>
      </c>
      <c r="AB17" s="13" t="s">
        <v>204</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0" t="s">
        <v>415</v>
      </c>
      <c r="V18" s="11" t="s">
        <v>239</v>
      </c>
      <c r="W18" s="11" t="s">
        <v>240</v>
      </c>
      <c r="X18" s="11" t="s">
        <v>241</v>
      </c>
      <c r="Y18" s="11" t="s">
        <v>242</v>
      </c>
      <c r="Z18" s="12">
        <v>46107</v>
      </c>
      <c r="AA18" s="13">
        <v>0.21799999984005936</v>
      </c>
      <c r="AB18" s="13" t="s">
        <v>204</v>
      </c>
      <c r="AC18" s="14" t="s">
        <v>231</v>
      </c>
      <c r="AD18" s="15" t="s">
        <v>243</v>
      </c>
    </row>
    <row r="19" spans="1:30" x14ac:dyDescent="0.25">
      <c r="A19" s="5">
        <v>18</v>
      </c>
      <c r="B19" s="6" t="s">
        <v>244</v>
      </c>
      <c r="C19" s="7" t="s">
        <v>245</v>
      </c>
      <c r="D19" s="7" t="s">
        <v>246</v>
      </c>
      <c r="E19" s="7" t="s">
        <v>32</v>
      </c>
      <c r="F19" s="7" t="s">
        <v>86</v>
      </c>
      <c r="G19" s="8">
        <v>111.36</v>
      </c>
      <c r="H19" s="8">
        <v>55.68</v>
      </c>
      <c r="I19" s="8">
        <v>0</v>
      </c>
      <c r="J19" s="8">
        <v>55.68</v>
      </c>
      <c r="K19" s="8">
        <v>0</v>
      </c>
      <c r="L19" s="9">
        <v>55.68</v>
      </c>
      <c r="M19" s="8">
        <v>55.68</v>
      </c>
      <c r="N19" s="8">
        <v>0</v>
      </c>
      <c r="O19" s="8" t="s">
        <v>247</v>
      </c>
      <c r="P19" s="10">
        <v>0.5</v>
      </c>
      <c r="Q19" s="11" t="s">
        <v>248</v>
      </c>
      <c r="R19" s="11" t="s">
        <v>249</v>
      </c>
      <c r="S19" s="11" t="s">
        <v>250</v>
      </c>
      <c r="T19" s="11" t="s">
        <v>251</v>
      </c>
      <c r="U19" s="11" t="s">
        <v>252</v>
      </c>
      <c r="V19" s="11" t="s">
        <v>253</v>
      </c>
      <c r="W19" s="11" t="s">
        <v>254</v>
      </c>
      <c r="X19" s="11" t="s">
        <v>255</v>
      </c>
      <c r="Y19" s="11" t="s">
        <v>256</v>
      </c>
      <c r="Z19" s="12">
        <v>46107</v>
      </c>
      <c r="AA19" s="13">
        <v>0.37217297840337649</v>
      </c>
      <c r="AB19" s="13" t="s">
        <v>204</v>
      </c>
      <c r="AC19" s="14" t="s">
        <v>245</v>
      </c>
      <c r="AD19" s="15" t="s">
        <v>97</v>
      </c>
    </row>
    <row r="20" spans="1:30" x14ac:dyDescent="0.25">
      <c r="A20" s="5">
        <v>19</v>
      </c>
      <c r="B20" s="6" t="s">
        <v>257</v>
      </c>
      <c r="C20" s="7" t="s">
        <v>257</v>
      </c>
      <c r="D20" s="7" t="s">
        <v>258</v>
      </c>
      <c r="E20" s="7" t="s">
        <v>32</v>
      </c>
      <c r="F20" s="7" t="s">
        <v>86</v>
      </c>
      <c r="G20" s="8">
        <v>218.28</v>
      </c>
      <c r="H20" s="8">
        <v>109.14</v>
      </c>
      <c r="I20" s="8">
        <v>0</v>
      </c>
      <c r="J20" s="8">
        <v>109.14</v>
      </c>
      <c r="K20" s="8">
        <v>0</v>
      </c>
      <c r="L20" s="9">
        <v>109.14</v>
      </c>
      <c r="M20" s="8">
        <v>109.14</v>
      </c>
      <c r="N20" s="8">
        <v>0</v>
      </c>
      <c r="O20" s="17" t="s">
        <v>259</v>
      </c>
      <c r="P20" s="10">
        <v>0.5</v>
      </c>
      <c r="Q20" s="11" t="s">
        <v>134</v>
      </c>
      <c r="R20" s="11" t="s">
        <v>260</v>
      </c>
      <c r="S20" s="11" t="s">
        <v>261</v>
      </c>
      <c r="T20" s="11" t="s">
        <v>134</v>
      </c>
      <c r="U20" s="11" t="s">
        <v>262</v>
      </c>
      <c r="V20" s="11" t="s">
        <v>263</v>
      </c>
      <c r="W20" s="11" t="s">
        <v>264</v>
      </c>
      <c r="X20" s="11">
        <v>0</v>
      </c>
      <c r="Y20" s="11">
        <v>0</v>
      </c>
      <c r="Z20" s="12">
        <v>46107</v>
      </c>
      <c r="AA20" s="13">
        <v>0.3804683278358072</v>
      </c>
      <c r="AB20" s="13" t="s">
        <v>204</v>
      </c>
      <c r="AC20" s="14" t="s">
        <v>257</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29.608499999999999</v>
      </c>
      <c r="N21" s="8">
        <v>0</v>
      </c>
      <c r="O21" s="8" t="s">
        <v>269</v>
      </c>
      <c r="P21" s="10">
        <v>5.8069545775476579E-2</v>
      </c>
      <c r="Q21" s="11" t="s">
        <v>35</v>
      </c>
      <c r="R21" s="11" t="s">
        <v>270</v>
      </c>
      <c r="S21" s="11" t="s">
        <v>261</v>
      </c>
      <c r="T21" s="11" t="s">
        <v>271</v>
      </c>
      <c r="U21" s="11" t="s">
        <v>272</v>
      </c>
      <c r="V21" s="11" t="s">
        <v>273</v>
      </c>
      <c r="W21" s="11" t="s">
        <v>274</v>
      </c>
      <c r="X21" s="11" t="s">
        <v>275</v>
      </c>
      <c r="Y21" s="11" t="s">
        <v>276</v>
      </c>
      <c r="Z21" s="12">
        <v>46092</v>
      </c>
      <c r="AA21" s="13">
        <v>0.13702611141747578</v>
      </c>
      <c r="AB21" s="13" t="s">
        <v>204</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134</v>
      </c>
      <c r="T22" s="11" t="s">
        <v>283</v>
      </c>
      <c r="U22" s="11" t="s">
        <v>284</v>
      </c>
      <c r="V22" s="11" t="s">
        <v>285</v>
      </c>
      <c r="W22" s="11" t="s">
        <v>286</v>
      </c>
      <c r="X22" s="11" t="s">
        <v>134</v>
      </c>
      <c r="Y22" s="11" t="s">
        <v>287</v>
      </c>
      <c r="Z22" s="12">
        <v>45925</v>
      </c>
      <c r="AA22" s="13" t="s">
        <v>204</v>
      </c>
      <c r="AB22" s="13" t="s">
        <v>204</v>
      </c>
      <c r="AC22" s="14" t="s">
        <v>279</v>
      </c>
      <c r="AD22" s="15" t="s">
        <v>288</v>
      </c>
    </row>
    <row r="23" spans="1:30" x14ac:dyDescent="0.25">
      <c r="A23" s="5">
        <v>22</v>
      </c>
      <c r="B23" s="6" t="s">
        <v>289</v>
      </c>
      <c r="C23" s="7" t="s">
        <v>290</v>
      </c>
      <c r="D23" s="7" t="s">
        <v>291</v>
      </c>
      <c r="E23" s="7" t="s">
        <v>150</v>
      </c>
      <c r="F23" s="7" t="s">
        <v>151</v>
      </c>
      <c r="G23" s="8">
        <v>6660.9289406779662</v>
      </c>
      <c r="H23" s="8">
        <v>6401.5711738999998</v>
      </c>
      <c r="I23" s="8">
        <v>0</v>
      </c>
      <c r="J23" s="8">
        <v>6401.5711738999998</v>
      </c>
      <c r="K23" s="8">
        <v>0</v>
      </c>
      <c r="L23" s="9">
        <v>259.35776677796639</v>
      </c>
      <c r="M23" s="8">
        <v>349.60664840000004</v>
      </c>
      <c r="N23" s="8">
        <v>0</v>
      </c>
      <c r="O23" s="8" t="s">
        <v>292</v>
      </c>
      <c r="P23" s="10">
        <v>0.96106282335575133</v>
      </c>
      <c r="Q23" s="11" t="s">
        <v>75</v>
      </c>
      <c r="R23" s="11" t="s">
        <v>293</v>
      </c>
      <c r="S23" s="11" t="s">
        <v>261</v>
      </c>
      <c r="T23" s="11" t="s">
        <v>294</v>
      </c>
      <c r="U23" s="11" t="s">
        <v>295</v>
      </c>
      <c r="V23" s="11" t="s">
        <v>296</v>
      </c>
      <c r="W23" s="11" t="s">
        <v>297</v>
      </c>
      <c r="X23" s="11" t="s">
        <v>298</v>
      </c>
      <c r="Y23" s="11" t="s">
        <v>299</v>
      </c>
      <c r="Z23" s="12">
        <v>46107</v>
      </c>
      <c r="AA23" s="13">
        <v>0.40540852853073461</v>
      </c>
      <c r="AB23" s="13">
        <v>4.7055080021901952E-2</v>
      </c>
      <c r="AC23" s="14" t="e">
        <v>#N/A</v>
      </c>
      <c r="AD23" s="15" t="s">
        <v>300</v>
      </c>
    </row>
    <row r="24" spans="1:30" x14ac:dyDescent="0.25">
      <c r="A24" s="5">
        <v>23</v>
      </c>
      <c r="B24" s="6" t="s">
        <v>301</v>
      </c>
      <c r="C24" s="7" t="s">
        <v>302</v>
      </c>
      <c r="D24" s="7" t="s">
        <v>302</v>
      </c>
      <c r="E24" s="7" t="s">
        <v>208</v>
      </c>
      <c r="F24" s="7" t="s">
        <v>125</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46100</v>
      </c>
      <c r="AA24" s="13">
        <v>-0.60818757869590545</v>
      </c>
      <c r="AB24" s="13">
        <v>0.42701644292272078</v>
      </c>
      <c r="AC24" s="14" t="e">
        <v>#N/A</v>
      </c>
      <c r="AD24" s="15" t="s">
        <v>217</v>
      </c>
    </row>
    <row r="25" spans="1:30" x14ac:dyDescent="0.25">
      <c r="A25" s="5">
        <v>24</v>
      </c>
      <c r="B25" s="6" t="s">
        <v>310</v>
      </c>
      <c r="C25" s="7" t="s">
        <v>311</v>
      </c>
      <c r="D25" s="7" t="s">
        <v>311</v>
      </c>
      <c r="E25" s="7" t="s">
        <v>208</v>
      </c>
      <c r="F25" s="7" t="s">
        <v>125</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46100</v>
      </c>
      <c r="AA25" s="13">
        <v>0.21727903408839577</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212</v>
      </c>
      <c r="T26" s="11" t="s">
        <v>323</v>
      </c>
      <c r="U26" s="16" t="s">
        <v>324</v>
      </c>
      <c r="V26" s="11" t="s">
        <v>325</v>
      </c>
      <c r="W26" s="11" t="s">
        <v>326</v>
      </c>
      <c r="X26" s="11" t="s">
        <v>298</v>
      </c>
      <c r="Y26" s="11" t="s">
        <v>327</v>
      </c>
      <c r="Z26" s="12">
        <v>46100</v>
      </c>
      <c r="AA26" s="13">
        <v>0.69403141354233666</v>
      </c>
      <c r="AB26" s="13">
        <v>0.51174435922491024</v>
      </c>
      <c r="AC26" s="14" t="e">
        <v>#N/A</v>
      </c>
      <c r="AD26" s="15" t="s">
        <v>217</v>
      </c>
    </row>
    <row r="27" spans="1:30" x14ac:dyDescent="0.25">
      <c r="A27" s="5">
        <v>26</v>
      </c>
      <c r="B27" s="6" t="s">
        <v>328</v>
      </c>
      <c r="C27" s="7" t="s">
        <v>329</v>
      </c>
      <c r="D27" s="7" t="s">
        <v>329</v>
      </c>
      <c r="E27" s="7" t="s">
        <v>73</v>
      </c>
      <c r="F27" s="7" t="s">
        <v>125</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204</v>
      </c>
      <c r="AB27" s="13" t="s">
        <v>204</v>
      </c>
      <c r="AC27" s="14" t="e">
        <v>#N/A</v>
      </c>
      <c r="AD27" s="15" t="s">
        <v>333</v>
      </c>
    </row>
    <row r="28" spans="1:30" x14ac:dyDescent="0.25">
      <c r="A28" s="5">
        <v>27</v>
      </c>
      <c r="B28" s="6" t="s">
        <v>334</v>
      </c>
      <c r="C28" s="7" t="s">
        <v>335</v>
      </c>
      <c r="D28" s="7" t="s">
        <v>335</v>
      </c>
      <c r="E28" s="7" t="s">
        <v>73</v>
      </c>
      <c r="F28" s="7" t="s">
        <v>125</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46086</v>
      </c>
      <c r="AA28" s="13" t="s">
        <v>204</v>
      </c>
      <c r="AB28" s="13" t="s">
        <v>204</v>
      </c>
      <c r="AC28" s="14" t="e">
        <v>#N/A</v>
      </c>
      <c r="AD28" s="15" t="s">
        <v>340</v>
      </c>
    </row>
    <row r="29" spans="1:30" x14ac:dyDescent="0.25">
      <c r="A29" s="5">
        <v>28</v>
      </c>
      <c r="B29" s="6" t="s">
        <v>341</v>
      </c>
      <c r="C29" s="7" t="s">
        <v>342</v>
      </c>
      <c r="D29" s="7" t="s">
        <v>343</v>
      </c>
      <c r="E29" s="7" t="s">
        <v>73</v>
      </c>
      <c r="F29" s="7" t="s">
        <v>86</v>
      </c>
      <c r="G29" s="8">
        <v>1640</v>
      </c>
      <c r="H29" s="8">
        <v>82</v>
      </c>
      <c r="I29" s="8">
        <v>82</v>
      </c>
      <c r="J29" s="8">
        <v>164</v>
      </c>
      <c r="K29" s="8">
        <v>0</v>
      </c>
      <c r="L29" s="9">
        <v>1558</v>
      </c>
      <c r="M29" s="8">
        <v>82</v>
      </c>
      <c r="N29" s="8">
        <v>82</v>
      </c>
      <c r="O29" s="18" t="s">
        <v>344</v>
      </c>
      <c r="P29" s="10">
        <v>0.05</v>
      </c>
      <c r="Q29" s="11" t="s">
        <v>345</v>
      </c>
      <c r="R29" s="11" t="s">
        <v>346</v>
      </c>
      <c r="S29" s="11" t="s">
        <v>90</v>
      </c>
      <c r="T29" s="11" t="s">
        <v>347</v>
      </c>
      <c r="U29" s="16" t="s">
        <v>348</v>
      </c>
      <c r="V29" s="11" t="s">
        <v>349</v>
      </c>
      <c r="W29" s="11" t="s">
        <v>350</v>
      </c>
      <c r="X29" s="11" t="s">
        <v>351</v>
      </c>
      <c r="Y29" s="11" t="s">
        <v>352</v>
      </c>
      <c r="Z29" s="12">
        <v>46078</v>
      </c>
      <c r="AA29" s="13">
        <v>0.19920000000000004</v>
      </c>
      <c r="AB29" s="13" t="s">
        <v>204</v>
      </c>
      <c r="AC29" s="14" t="s">
        <v>342</v>
      </c>
      <c r="AD29" s="15" t="s">
        <v>353</v>
      </c>
    </row>
    <row r="30" spans="1:30" x14ac:dyDescent="0.25">
      <c r="A30" s="5">
        <v>29</v>
      </c>
      <c r="B30" s="7" t="s">
        <v>354</v>
      </c>
      <c r="C30" s="7" t="s">
        <v>355</v>
      </c>
      <c r="D30" s="7" t="s">
        <v>356</v>
      </c>
      <c r="E30" s="7" t="s">
        <v>32</v>
      </c>
      <c r="F30" s="7" t="s">
        <v>357</v>
      </c>
      <c r="G30" s="8">
        <v>809.07864406779663</v>
      </c>
      <c r="H30" s="8">
        <v>253.52037680000007</v>
      </c>
      <c r="I30" s="8">
        <v>8</v>
      </c>
      <c r="J30" s="8">
        <v>261.52037680000007</v>
      </c>
      <c r="K30" s="8">
        <v>8</v>
      </c>
      <c r="L30" s="9">
        <v>555.55826726779651</v>
      </c>
      <c r="M30" s="8">
        <v>133.59830950000008</v>
      </c>
      <c r="N30" s="8">
        <v>4.8781356000000002</v>
      </c>
      <c r="O30" s="8" t="s">
        <v>101</v>
      </c>
      <c r="P30" s="10">
        <v>0.31334454154589741</v>
      </c>
      <c r="Q30" s="11" t="s">
        <v>35</v>
      </c>
      <c r="R30" s="11" t="s">
        <v>358</v>
      </c>
      <c r="S30" s="11" t="e">
        <v>#N/A</v>
      </c>
      <c r="T30" s="11" t="s">
        <v>359</v>
      </c>
      <c r="U30" s="16" t="s">
        <v>360</v>
      </c>
      <c r="V30" s="11" t="s">
        <v>416</v>
      </c>
      <c r="W30" s="11" t="s">
        <v>416</v>
      </c>
      <c r="X30" s="11" t="s">
        <v>298</v>
      </c>
      <c r="Y30" s="11" t="s">
        <v>416</v>
      </c>
      <c r="Z30" s="12">
        <v>0</v>
      </c>
      <c r="AA30" s="13">
        <v>0.20361656612542389</v>
      </c>
      <c r="AB30" s="13">
        <v>0.53564420356445086</v>
      </c>
      <c r="AC30" s="14" t="s">
        <v>355</v>
      </c>
      <c r="AD30" s="15" t="s">
        <v>361</v>
      </c>
    </row>
    <row r="31" spans="1:30" x14ac:dyDescent="0.25">
      <c r="A31" s="5">
        <v>30</v>
      </c>
      <c r="B31" s="7" t="s">
        <v>362</v>
      </c>
      <c r="C31" s="7" t="s">
        <v>363</v>
      </c>
      <c r="D31" s="7" t="s">
        <v>364</v>
      </c>
      <c r="E31" s="7" t="s">
        <v>73</v>
      </c>
      <c r="F31" s="7" t="s">
        <v>125</v>
      </c>
      <c r="G31" s="8">
        <v>643.5</v>
      </c>
      <c r="H31" s="8">
        <v>0</v>
      </c>
      <c r="I31" s="8">
        <v>0</v>
      </c>
      <c r="J31" s="8">
        <v>0</v>
      </c>
      <c r="K31" s="8">
        <v>0</v>
      </c>
      <c r="L31" s="9">
        <v>643.5</v>
      </c>
      <c r="M31" s="8">
        <v>0</v>
      </c>
      <c r="N31" s="8">
        <v>0</v>
      </c>
      <c r="O31" s="8" t="s">
        <v>365</v>
      </c>
      <c r="P31" s="10">
        <v>0</v>
      </c>
      <c r="Q31" s="16" t="s">
        <v>366</v>
      </c>
      <c r="R31" s="11" t="s">
        <v>367</v>
      </c>
      <c r="S31" s="11" t="s">
        <v>368</v>
      </c>
      <c r="T31" s="11" t="s">
        <v>369</v>
      </c>
      <c r="U31" s="16" t="s">
        <v>370</v>
      </c>
      <c r="V31" s="11" t="s">
        <v>371</v>
      </c>
      <c r="W31" s="11" t="s">
        <v>372</v>
      </c>
      <c r="X31" s="11" t="s">
        <v>298</v>
      </c>
      <c r="Y31" s="11" t="s">
        <v>373</v>
      </c>
      <c r="Z31" s="12">
        <v>46101</v>
      </c>
      <c r="AA31" s="13" t="s">
        <v>204</v>
      </c>
      <c r="AB31" s="13" t="s">
        <v>204</v>
      </c>
      <c r="AC31" s="14" t="s">
        <v>363</v>
      </c>
      <c r="AD31" s="15" t="s">
        <v>170</v>
      </c>
    </row>
    <row r="32" spans="1:30" x14ac:dyDescent="0.25">
      <c r="A32" s="5">
        <v>31</v>
      </c>
      <c r="B32" s="7" t="s">
        <v>374</v>
      </c>
      <c r="C32" s="7" t="s">
        <v>375</v>
      </c>
      <c r="D32" s="7" t="s">
        <v>376</v>
      </c>
      <c r="E32" s="7" t="s">
        <v>73</v>
      </c>
      <c r="F32" s="7" t="s">
        <v>125</v>
      </c>
      <c r="G32" s="8">
        <v>96.595439999999996</v>
      </c>
      <c r="H32" s="8">
        <v>0</v>
      </c>
      <c r="I32" s="8">
        <v>0</v>
      </c>
      <c r="J32" s="8">
        <v>0</v>
      </c>
      <c r="K32" s="8">
        <v>0</v>
      </c>
      <c r="L32" s="9">
        <v>96.595439999999996</v>
      </c>
      <c r="M32" s="8">
        <v>0</v>
      </c>
      <c r="N32" s="8">
        <v>0</v>
      </c>
      <c r="O32" s="8" t="s">
        <v>377</v>
      </c>
      <c r="P32" s="10">
        <v>0</v>
      </c>
      <c r="Q32" s="11" t="s">
        <v>298</v>
      </c>
      <c r="R32" s="11" t="s">
        <v>378</v>
      </c>
      <c r="S32" s="11" t="s">
        <v>212</v>
      </c>
      <c r="T32" s="11" t="s">
        <v>298</v>
      </c>
      <c r="U32" s="16" t="s">
        <v>379</v>
      </c>
      <c r="V32" s="11" t="s">
        <v>380</v>
      </c>
      <c r="W32" s="11" t="s">
        <v>381</v>
      </c>
      <c r="X32" s="11" t="s">
        <v>298</v>
      </c>
      <c r="Y32" s="11" t="s">
        <v>382</v>
      </c>
      <c r="Z32" s="12">
        <v>46086</v>
      </c>
      <c r="AA32" s="13" t="s">
        <v>204</v>
      </c>
      <c r="AB32" s="13" t="s">
        <v>204</v>
      </c>
      <c r="AC32" s="14" t="s">
        <v>375</v>
      </c>
      <c r="AD32" s="15" t="s">
        <v>288</v>
      </c>
    </row>
    <row r="33" spans="1:30" x14ac:dyDescent="0.25">
      <c r="A33" s="5">
        <v>32</v>
      </c>
      <c r="B33" s="7" t="s">
        <v>383</v>
      </c>
      <c r="C33" s="7" t="s">
        <v>384</v>
      </c>
      <c r="D33" s="7" t="s">
        <v>385</v>
      </c>
      <c r="E33" s="7" t="s">
        <v>32</v>
      </c>
      <c r="F33" s="7" t="s">
        <v>233</v>
      </c>
      <c r="G33" s="8">
        <v>35.1</v>
      </c>
      <c r="H33" s="8">
        <v>0</v>
      </c>
      <c r="I33" s="8">
        <v>0</v>
      </c>
      <c r="J33" s="8">
        <v>0</v>
      </c>
      <c r="K33" s="8">
        <v>0</v>
      </c>
      <c r="L33" s="9">
        <v>35.1</v>
      </c>
      <c r="M33" s="8">
        <v>0</v>
      </c>
      <c r="N33" s="8">
        <v>0</v>
      </c>
      <c r="O33" s="8" t="s">
        <v>386</v>
      </c>
      <c r="P33" s="10">
        <v>0</v>
      </c>
      <c r="Q33" s="11" t="s">
        <v>162</v>
      </c>
      <c r="R33" s="11" t="s">
        <v>387</v>
      </c>
      <c r="S33" s="11" t="s">
        <v>237</v>
      </c>
      <c r="T33" s="11" t="s">
        <v>298</v>
      </c>
      <c r="U33" s="16" t="s">
        <v>388</v>
      </c>
      <c r="V33" s="11" t="s">
        <v>389</v>
      </c>
      <c r="W33" s="11" t="s">
        <v>390</v>
      </c>
      <c r="X33" s="11" t="s">
        <v>298</v>
      </c>
      <c r="Y33" s="11" t="s">
        <v>391</v>
      </c>
      <c r="Z33" s="12">
        <v>46107</v>
      </c>
      <c r="AA33" s="13" t="s">
        <v>204</v>
      </c>
      <c r="AB33" s="13" t="s">
        <v>204</v>
      </c>
      <c r="AC33" s="14" t="s">
        <v>384</v>
      </c>
      <c r="AD33" s="15" t="s">
        <v>243</v>
      </c>
    </row>
    <row r="34" spans="1:30" x14ac:dyDescent="0.25">
      <c r="A34" s="5">
        <v>33</v>
      </c>
      <c r="B34" s="7" t="s">
        <v>392</v>
      </c>
      <c r="C34" s="7" t="s">
        <v>393</v>
      </c>
      <c r="D34" s="7" t="s">
        <v>392</v>
      </c>
      <c r="E34" s="7" t="s">
        <v>73</v>
      </c>
      <c r="F34" s="7" t="s">
        <v>125</v>
      </c>
      <c r="G34" s="8">
        <v>417.49581000000001</v>
      </c>
      <c r="H34" s="8">
        <v>0</v>
      </c>
      <c r="I34" s="8">
        <v>0</v>
      </c>
      <c r="J34" s="8">
        <v>0</v>
      </c>
      <c r="K34" s="8">
        <v>0</v>
      </c>
      <c r="L34" s="9">
        <v>417.49581000000001</v>
      </c>
      <c r="M34" s="8">
        <v>0</v>
      </c>
      <c r="N34" s="8">
        <v>0</v>
      </c>
      <c r="O34" s="8" t="s">
        <v>394</v>
      </c>
      <c r="P34" s="10">
        <v>0</v>
      </c>
      <c r="Q34" s="16" t="s">
        <v>395</v>
      </c>
      <c r="R34" s="11" t="s">
        <v>396</v>
      </c>
      <c r="S34" s="11" t="s">
        <v>397</v>
      </c>
      <c r="T34" s="11" t="s">
        <v>398</v>
      </c>
      <c r="U34" s="16" t="s">
        <v>399</v>
      </c>
      <c r="V34" s="11" t="s">
        <v>400</v>
      </c>
      <c r="W34" s="11" t="s">
        <v>401</v>
      </c>
      <c r="X34" s="11" t="s">
        <v>298</v>
      </c>
      <c r="Y34" s="11" t="s">
        <v>402</v>
      </c>
      <c r="Z34" s="12">
        <v>46101</v>
      </c>
      <c r="AA34" s="13" t="s">
        <v>204</v>
      </c>
      <c r="AB34" s="13" t="s">
        <v>204</v>
      </c>
      <c r="AC34" s="14" t="s">
        <v>393</v>
      </c>
      <c r="AD34" s="15" t="s">
        <v>403</v>
      </c>
    </row>
    <row r="35" spans="1:30" x14ac:dyDescent="0.25">
      <c r="A35" s="5">
        <v>34</v>
      </c>
      <c r="B35" s="7" t="s">
        <v>404</v>
      </c>
      <c r="C35" s="7" t="s">
        <v>405</v>
      </c>
      <c r="D35" s="7" t="s">
        <v>406</v>
      </c>
      <c r="E35" s="7" t="s">
        <v>32</v>
      </c>
      <c r="F35" s="7" t="s">
        <v>33</v>
      </c>
      <c r="G35" s="8">
        <v>979.02</v>
      </c>
      <c r="H35" s="8">
        <v>0</v>
      </c>
      <c r="I35" s="8">
        <v>0</v>
      </c>
      <c r="J35" s="8">
        <v>0</v>
      </c>
      <c r="K35" s="8">
        <v>0</v>
      </c>
      <c r="L35" s="9">
        <v>979.02</v>
      </c>
      <c r="M35" s="8">
        <v>0</v>
      </c>
      <c r="N35" s="8">
        <v>0</v>
      </c>
      <c r="O35" s="8" t="s">
        <v>269</v>
      </c>
      <c r="P35" s="10">
        <v>0</v>
      </c>
      <c r="Q35" s="11" t="s">
        <v>35</v>
      </c>
      <c r="R35" s="11" t="s">
        <v>407</v>
      </c>
      <c r="S35" s="11" t="e">
        <v>#N/A</v>
      </c>
      <c r="T35" s="11" t="s">
        <v>408</v>
      </c>
      <c r="U35" s="11" t="s">
        <v>409</v>
      </c>
      <c r="V35" s="11" t="s">
        <v>416</v>
      </c>
      <c r="W35" s="11" t="s">
        <v>416</v>
      </c>
      <c r="X35" s="11" t="s">
        <v>410</v>
      </c>
      <c r="Y35" s="11" t="s">
        <v>416</v>
      </c>
      <c r="Z35" s="12">
        <v>0</v>
      </c>
      <c r="AA35" s="13" t="s">
        <v>204</v>
      </c>
      <c r="AB35" s="13" t="s">
        <v>204</v>
      </c>
      <c r="AC35" s="14" t="s">
        <v>405</v>
      </c>
      <c r="AD35" s="15" t="s">
        <v>44</v>
      </c>
    </row>
    <row r="36" spans="1:30" x14ac:dyDescent="0.25">
      <c r="A36" s="19">
        <v>35</v>
      </c>
      <c r="B36" s="20" t="s">
        <v>411</v>
      </c>
      <c r="C36" s="21" t="s">
        <v>412</v>
      </c>
      <c r="D36" s="21" t="s">
        <v>413</v>
      </c>
      <c r="E36" s="20" t="s">
        <v>32</v>
      </c>
      <c r="F36" s="20" t="s">
        <v>86</v>
      </c>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416</v>
      </c>
      <c r="W36" s="25" t="s">
        <v>416</v>
      </c>
      <c r="X36" s="25" t="s">
        <v>298</v>
      </c>
      <c r="Y36" s="25" t="s">
        <v>416</v>
      </c>
      <c r="Z36" s="26" t="e">
        <v>#N/A</v>
      </c>
      <c r="AA36" s="27" t="s">
        <v>204</v>
      </c>
      <c r="AB36" s="27" t="s">
        <v>204</v>
      </c>
      <c r="AC36" s="28" t="s">
        <v>412</v>
      </c>
      <c r="AD36" s="29" t="s">
        <v>414</v>
      </c>
    </row>
  </sheetData>
  <conditionalFormatting sqref="P2:R36 T2:Y36">
    <cfRule type="dataBar" priority="1">
      <dataBar>
        <cfvo type="num" val="0"/>
        <cfvo type="num" val="1"/>
        <color rgb="FF008AEF"/>
      </dataBar>
      <extLst>
        <ext xmlns:x14="http://schemas.microsoft.com/office/spreadsheetml/2009/9/main" uri="{B025F937-C7B1-47D3-B67F-A62EFF666E3E}">
          <x14:id>{AABF7495-B120-4D0C-A372-8007CDD8024A}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ABF7495-B120-4D0C-A372-8007CDD8024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2026-03-27T09:31:28Z</dcterms:created>
  <dcterms:modified xsi:type="dcterms:W3CDTF">2026-03-27T09:31:30Z</dcterms:modified>
</cp:coreProperties>
</file>