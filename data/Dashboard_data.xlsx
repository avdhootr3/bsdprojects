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C8E35ADD-B7A6-46F8-84A1-D0CED57329AF}" xr6:coauthVersionLast="47" xr6:coauthVersionMax="47" xr10:uidLastSave="{00000000-0000-0000-0000-000000000000}"/>
  <bookViews>
    <workbookView xWindow="-120" yWindow="-120" windowWidth="20730" windowHeight="11040" xr2:uid="{679026B9-490F-46C8-9A47-274295409353}"/>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<sst xmlns="http://schemas.openxmlformats.org/spreadsheetml/2006/main" count="654" uniqueCount="435">
  <si>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</si>
  <si>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</si>
  <si>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</si>
  <si>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</si>
  <si>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</si>
  <si>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</si>
  <si>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</si>
  <si>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</si>
  <si>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</si>
  <si>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</si>
  <si>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</si>
  <si>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</si>
  <si>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</si>
  <si>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</si>
  <si>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</si>
  <si>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</si>
  <si>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</si>
  <si>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</si>
  <si>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</si>
  <si>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</si>
  <si>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</si>
  <si>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</si>
  <si>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</si>
  <si>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</si>
  <si>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</si>
  <si>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</si>
  <si>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</si>
  <si>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</si>
  <si>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</si>
  <si>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</si>
  <si>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</si>
  <si>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</si>
  <si>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</si>
  <si>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</si>
  <si>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</si>
  <si>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</si>
  <si>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</si>
  <si>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</si>
  <si>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</si>
  <si>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</si>
  <si>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Billing Done till Apr-26
Payment pending for the month of Feb-26 to Apr-26
S.no  Bucket name     No. of Tasks
  1.      No Status    =   15
  2.      Estimation   =   10
  3.     Designing    =    10
  4.     To Do        =    22
  5.     In Progress  =    8
  6.     Under QA Testing = 4
  7.     User Acceptance Testing (UAT) = 24
  8.     Released on Production = 357
  9.     Closed       = 141</t>
  </si>
  <si>
    <t>Planned tasks- 2</t>
  </si>
  <si>
    <t>HTML,CSS,React,java, spring boot,Elastic,mysql AWS,Postman,Jenkins,CI/CD,Kibana,GIT,Docker</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</si>
  <si>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</si>
  <si>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</si>
  <si>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</si>
  <si>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</si>
  <si>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</si>
  <si>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</si>
  <si>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</si>
  <si>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</si>
  <si>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Feb’26. Invoice for Mar’26 under processing  &amp; invoicing done for Apr’26. 
3. New requirement received for CB, IEC MIS fields &amp; SWM modules. IEC deployed on production. MIS changes done, CB form awaited. IEC Dashboard development done, under testing now.
4. New SBM Dashboard ver2.0 (SWM, UWM, Legacy waste &amp; Toilets): C&amp;D, CB, IEC dashboard to be developed.
5. New Mission Dashboard-Integrated in Swachhatam portal, State/ULB based access work done. Map issue resolved.
6. GFC module: Changes ongoing
7. Website updates ongoing: SBM Journey, Trash Tales, Banner Updated.
8. Swachhata App: UI changes done, testing done, now its live.
9. Swachh City : bug fixing ongoing.
10. KT ongoing for new team members
11. Whatsapp integration with Swachhata App: questions updated.
12. ODF mobile app revamp completed, testing &amp; bug fixing ongoing
13. GMIS Dashboard-Bug fixing ongoing ESRI side
14. Action Plan : SLTC level approval are ongoing. 
15. Support issues: team is providing support to ULBs
</t>
  </si>
  <si>
    <t>Upcoming  activities:
1. Maintenance activities: Daily ULB support, Website changes ongoing.
2. New SBM Dashboard 2.0 development: Data verification ongoing by QA &amp; DBA.
3. SS Activities : changes ongoing for swachhata App feedback form. Citizen feedback questionnaire uploaded.
4. Swachh City: Support ongoing for ULB’s issues. 
5. ODF documentation created,  review ongoing
6. All Dashboards-Bug fixing ongoing
7. GMIS Dashboard-Data verification ongoing, issues fixed by ESRI
8. MIS data : apply validation on fields : Analysis done, need to discuss &amp; finalize plan after State meeting
9.Develop Form for CB monitoring: Form awaited from PMU
10. Citizen Feedback dashboard for Swachhata App is live now.</t>
  </si>
  <si>
    <t>Angular, AWS Cloud, mySQl, Posgresql, NodeJS, Java, MongoDB, RESTAPI, HTML, PHP, MicroService, Quicksight,CSS, Flutter</t>
  </si>
  <si>
    <t xml:space="preserve">Major Challenges:
1. Need Replacement of Technical Team lead &amp; Tester ASAP
2. Interviews are ongoing to replace resigned team members
3. Need permanent ArcGIS resource in place of BI developer
</t>
  </si>
  <si>
    <t>Anoop K</t>
  </si>
  <si>
    <t>ORGI</t>
  </si>
  <si>
    <t>orgi OFFICE OF REGISTRAR GENERAL OF INDIA - CRS</t>
  </si>
  <si>
    <t>OFFICE OF REGISTRAR GENERAL OF INDIA - CRS</t>
  </si>
  <si>
    <t>2 Years</t>
  </si>
  <si>
    <t>Start Date (PO) : 02-Apr-24 :: End Date (PO) : 01-Apr-26</t>
  </si>
  <si>
    <t>25 ( 1  left Priyanka replacement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</si>
  <si>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</si>
  <si>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</si>
  <si>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 in Web ,iOAS and Android App.
. Oracle Interactive Analytics Dashboard for Statistics with dynamic charts and KPIs,</t>
  </si>
  <si>
    <t>Jan Payment pending from IFA.
Feb Payment pending from RGI
March Invoice submission pending
April attendance and Document verification ongoing
DAST and VAPT Security Audit
Flag raising for uneven Registration
Bulk cancellation of certificate
Entered Legacy data approved by DR
Issue resoluation</t>
  </si>
  <si>
    <t>Node JS, Android, iOS, ORACLE database , REST, API design, HTML, CSS, JavaScript, JSON, IIS/ Apache, Linux, Aadhaar Vault, NSDL PayGov, C-DAC</t>
  </si>
  <si>
    <t xml:space="preserve">
1 Priyanka Replacement as a developer
2 Replacement of DBA , DBA resigned from his post
3 OS Patch upgradation in production.
4 GOA and MCD Delhionboarding from 1st June
5 Company Demerger issue / SLA sign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</si>
  <si>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</si>
  <si>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</si>
  <si>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</si>
  <si>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</si>
  <si>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</si>
  <si>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</si>
  <si>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</si>
  <si>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</si>
  <si>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</si>
  <si>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</si>
  <si>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</si>
  <si>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delivered required changes of SEZ in short time.
Saadhit targets are in progress along with the priorities.
Fraud related activities like investigation and fixing short term solutions in progress.</t>
  </si>
  <si>
    <t xml:space="preserve">Provide all the approvals which are necessary for 20% Pending amount &amp; Notional.
Actively start working on saadhit plan.
</t>
  </si>
  <si>
    <t>Java Struts, For upgrade - TBD</t>
  </si>
  <si>
    <t>Attendance software is in delay.</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</si>
  <si>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</si>
  <si>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</si>
  <si>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</si>
  <si>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</si>
  <si>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</si>
  <si>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</si>
  <si>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</si>
  <si>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</si>
  <si>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</si>
  <si>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</si>
  <si>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Work is currently underway to stabilize the system, and we are actively addressing the reported issue. At the same time, parallel discussions are ongoing to close the training milestone. We have formally requested closure of the training phase, after which stabilization will follow. Internal discussions are in progress within PFRDA, and the training may be scheduled for next week.</t>
  </si>
  <si>
    <t>Closure of Training and Stabilization Phase</t>
  </si>
  <si>
    <t>Spring Boot, Odoo, React JS, Apache, PostgreSQL, Postman, Moodle, Figma, Ubuntu, AWS Cloud, Flutter, React, Node JS</t>
  </si>
  <si>
    <t>A high-level meeting is required with CMS and PFRDA senior management to finalize the closure of the stabilization phase and initiate O&amp;M.</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</si>
  <si>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</si>
  <si>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</si>
  <si>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</si>
  <si>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</si>
  <si>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</si>
  <si>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</si>
  <si>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</si>
  <si>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</si>
  <si>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</si>
  <si>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</si>
  <si>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</si>
  <si>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</si>
  <si>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</si>
  <si>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</si>
  <si>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</si>
  <si>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</si>
  <si>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</si>
  <si>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</si>
  <si>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</si>
  <si>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</si>
  <si>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</si>
  <si>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</si>
  <si>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verified...calculation in progress
April- 26 : Attendance verified...calculation in progress
1] Krishi Mapper :
A. KM 2.0 : Testing in progress for all modules : user management , data quality check(DQC),MIS Report,Dashbord monitoring.
B. KM 2.0 mobile APP : Testing in progress for single login for 10 schemes has been done and in testing phase .other schemes is in progress.
C. KM 2.0 server infrastructure : discussion is going for server infrastructure upgradation for optimized site.
D .Offline mode for demonstration : Deployed on production 
E. KM 2.0 Data migration : Migration for one state is in progess and testing is going accordingly
F. KM 1.0 : M&amp;T Expensive machinery in mobile APP : development in progress
G. KM 1.0 : State API data to show in GIS dashboard and table view Survey count dashboard
2]. KY portal : VAPT completed...deliver to client for the UAT
3]. Agristack Dashboard :
1.FR/DCS dashboard : Data verification and Testing is in progress.</t>
  </si>
  <si>
    <t xml:space="preserve">1. KM2.0 Mobile APP development
2. KM 2.0 User management Testing
3. KM 2.0 POC in one state
4. M&amp;T Expensive machinery testing
</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</si>
  <si>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</si>
  <si>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</si>
  <si>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</si>
  <si>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</si>
  <si>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</si>
  <si>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</si>
  <si>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</si>
  <si>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</si>
  <si>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</si>
  <si>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</si>
  <si>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</si>
  <si>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Q4&amp; Q5 Manpower and existing Infra payment released and Q1 &amp; Q2 &amp; Q3 New BOQ 2% payment released.
2. Total 33 Manpower deployed at Gwalior ICCC Project.
3. Q-6 (Feb.26 to April .26 ) Document preparation for billing.
4. ISO 27001 &amp; 20000 Certification due to some points approval pending from client side. (Letter submitted to client but there is no response)
5. 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t>
  </si>
  <si>
    <t>Q5(Nov.25 to Jan.26) &amp; new BOQ Q3(Oct.25 to Dec.25) payment payment released.
2. Server part required PR released.
3. Insurance team payment follow up in ICCC videowall and switches. (Email drop to PMO &amp; Legal team)
4. Breakdown issues and PM activity going on of ICCC and DC.
5.Boundary wall work PO received to vendor work will start as per agreement.
6. DG Service required. AMC issue as per vendor.</t>
  </si>
  <si>
    <t>NA</t>
  </si>
  <si>
    <t>IT Equipment like server, Tape library &amp; switch and San storage AMC not start yet.(this is very critical, as per our RFP in Tape library take 6 months camera feed and other storage but currently there is no solution )-Pending from HO &amp; Purchase team.
2. For ISO CERTIFICATION PUSH TO Client FROM OUR SALES TEAM.-Letter submit to client for help to close ISO.
3.One server failure issue. there is no AMC.- PR Pending from CMS
4. as per RFP we can raise invoice after one year completion 4% increment amount but consultant is deny for this. we can discuss internally HR and management team for this final solution.(2.9.7.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</si>
  <si>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</si>
  <si>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</si>
  <si>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</si>
  <si>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</si>
  <si>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</si>
  <si>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</si>
  <si>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</si>
  <si>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</si>
  <si>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Jun25 (Total 10 quarters payment released- 75%)
2) Billing done for AMJ’25 Qtr amounting to INR 3.81 Cr.
</t>
  </si>
  <si>
    <t>1) Gathering of poles laying onsite for inventory consolidation
2) Issuance of PO to vendor for Zareeb Chowki poles dismantle conducted on 10/6/26.
3) Polycom equipment for conducting virtual meet to be made fully functional.
Inventory reconciliation of sites alongwith the one in warehouse (damaged /faulty) for submission. 
4) Inventory verification and rectification to compare the record of client’s inventory sheet provided. 
5) Aligning teams for Preventive Maintenance plan for the sites.
6) With 5 sites completed, for expedition of ANPR camera installation at Entry-EXIT locations of 10 sites proposed from client temporarily kept on hold due to bandwidth issue.
7) As per the meeting with Videonetics in Jan’26 the response from them remains awaited for UAT towards their implemented ITMS application towards compliance requirement from client.
8) To survey with metro team the routes where the KSCL is requested to dismantle the solutions for movement of material in and out of metro – currently kept on hold due to information of route change but no official info received 
9) Reminder for decision from Tech-M towards commercial quotation provided for 4 routes where dismantling is instructed from Setu Nigam Dept.
10) Weekly testing for onsite Speed Calibration for ITMS-SVD
11) Coordination with Tech-M for Metro &amp; Shifting site Inventory consolidation
12) Reimbursement of recurring charges from Tech-M
13) Follow-up with purchase on procurement of batteries, Nova-star LED Screen Hub Board.
14) PO Renewal for AMC of Aurassure, Commend, AVO, &amp; issuance of fresh PO to Uttkarsh for Zareeb Chowki dismantle.
15) Disagreement from CMS legal team towards documentary submission proposed by Airtel/Vodafone vendor said to be the requirement of DoT towards procurement of 50 sims has stalled the matter.
16) Expedition on 14 sites out of ATCS -23 junctions for making it operational, permissions awaited.
17) W-I-P for Inventory Consolidation of material at sites which are out of network.
18) Troubleshooting of Videonetics ITMS application exhibiting “0” kmph.
19) Response awaited from vendor for VMSB issue resolution to make it live.
18) Coordination with Sudhir sir for Li-Ion Batteries.
19) Replacement of batteries at D.C on priority.
20) Hiring of 3 people for 2 position in the project i.e. ICCC Operator (Qty:1), Senior Field Engg.(Qty:2) Though candidate shortlisted for ICCC operator client yet to approve on candidate.
21) Coordination with purchase team for delivery of 140 traffic sensors my last discussion with purchase will require 40 more days.
22) Coordination with internal team for vendor management.
23) Pending vendor payments for Reliance Communication. 
24) Checking feasibility for internal latching system for J.B for theft control.</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</si>
  <si>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ICCC Operator will attract penalty.
12) Smart parking- Nov Star LED Screen Hub Board delay in procurement will also delay the delivery of solution to client.
13)140 smart parking sensors delivery pending to be procured/received for the project.
14) Unavailability of 50 sims can be a pain point while handover.</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</si>
  <si>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</si>
  <si>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</si>
  <si>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</si>
  <si>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</si>
  <si>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</si>
  <si>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</si>
  <si>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</si>
  <si>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</si>
  <si>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</si>
  <si>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Mobile app development in progress 
CAMC bill submitted </t>
  </si>
  <si>
    <t xml:space="preserve">Mobile app testing </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</si>
  <si>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</si>
  <si>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</si>
  <si>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</si>
  <si>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</si>
  <si>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</si>
  <si>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</si>
  <si>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</si>
  <si>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</si>
  <si>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</si>
  <si>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</si>
  <si>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</si>
  <si>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</si>
  <si>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</si>
  <si>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</si>
  <si>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</si>
  <si>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</si>
  <si>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 xml:space="preserve">17 no resources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</si>
  <si>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</si>
  <si>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</si>
  <si>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1.Second year third quarter continue
2. O &amp; M activity
5. Gandhi Nagar 2 no controller received </t>
  </si>
  <si>
    <t>1.O &amp; M activity
2. DR Deployment</t>
  </si>
  <si>
    <t xml:space="preserve">1.17 no old UCON controller need to change
2. 300 no LED module need to replace with OEM
3. 50 no LED module need to collect from LUMINA
4. C1 &amp; C2 project battery needs to replace with HBL &amp; EATON
</t>
  </si>
  <si>
    <t>ISCDL</t>
  </si>
  <si>
    <t>INDORE SMART CITY ISCDL</t>
  </si>
  <si>
    <t>INDORE SMART CITY</t>
  </si>
  <si>
    <t>SITC – 9 M, O&amp;M – 5 Yr</t>
  </si>
  <si>
    <t>Start Date (PO) : 01-Nov-22 :: End Date (PO) : 31-Aug-29</t>
  </si>
  <si>
    <t>4</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</si>
  <si>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</si>
  <si>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</si>
  <si>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Payment file are under process against for Milestone-4 and today will be submitted to account department post signed by CEO sir.</t>
  </si>
  <si>
    <t>1. Restoration and Shifting work against BRTS dis-mantle.
2. P&amp;M activity</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</si>
  <si>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</si>
  <si>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</si>
  <si>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</si>
  <si>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</si>
  <si>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</si>
  <si>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</si>
  <si>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</si>
  <si>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</si>
  <si>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</si>
  <si>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</si>
  <si>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</si>
  <si>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</si>
  <si>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</si>
  <si>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</si>
  <si>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</si>
  <si>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</si>
  <si>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</si>
  <si>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</si>
  <si>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</si>
  <si>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</si>
  <si>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</si>
  <si>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</si>
  <si>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</si>
  <si>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</si>
  <si>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Hardware and software UAT done. Handover activities done. 
3.	VMD: 10/10 Nos. VMD foundation done and Display installed. Application installed, commissioning &amp; integration with ICCC application done.  Earth-pit installation done. For all 10 Nos. VMD Cable laying, connection done. Due to Meter power, UPS power not available and Network also not available from Honeywell end 2 Nos. VMD still power on activities pending. Hardware and Software UAT done. System handover activities completed.
4.	ECB: 20/20 Nos. ECB enclosure foundation &amp; installation done, all 20 ECB installation done and power on. Application installed and commissioning done and UAT done. Integration with ICCC application not yet completed by Trinity and Sparsh.  Sparsh ECB hardware LAN connectivity issue temporarily resolved by CMS filed team Only. Stil Sparsh not given any solutions. Hardware and Software UAT done and handover activities done. 
5.	GIS application installation and integration done. Application UAT done and system handover activities done. 
6.	8 No. EVS power on. 2 EVS still Power off due to power not available from HW team. Application and integration done. Hardware and Software UAT done and handover activities done. 
7.	99% billing done.  87.53% payment received. 
</t>
  </si>
  <si>
    <t xml:space="preserve">1.	Go-Live Signoff.  </t>
  </si>
  <si>
    <t xml:space="preserve">1.	ECB/PA OEM (Sparsh) is not supporting properly. 
2.	They Have hardware issues and Application issues. 
3.	Sparsh 5 Nos ECB Are found faulty. Need urgent support from them.
4.	Sparsh ECB TCP/IP connectivity not happening. 
</t>
  </si>
  <si>
    <t>Arindam R</t>
  </si>
  <si>
    <t>MCS - L&amp;T</t>
  </si>
  <si>
    <t xml:space="preserve">Mumbai city surveillance larsen and toubro mcs </t>
  </si>
  <si>
    <t>Mumbai City Surveillance</t>
  </si>
  <si>
    <t>3 months</t>
  </si>
  <si>
    <t>Start Date (PO) : 31-Dec-25 :: End Date (PO) : 04-Mar-26</t>
  </si>
  <si>
    <t>211</t>
  </si>
  <si>
    <t>72.86 L</t>
  </si>
  <si>
    <t>Viewing Manpower in 4 shifts including backup to cover 203 shifts daily.</t>
  </si>
  <si>
    <t xml:space="preserve">Documentation process for 2 candidates is currently in progress for training.
2 candidates are lined up for interviews this week.
</t>
  </si>
  <si>
    <t>Minimum Wages Policy discussion with Million Minds Team
2 candidates Interview for this week
AR Collection follow-up with Customer</t>
  </si>
  <si>
    <t>A new recruiter need to be selected for the Million Minds team as a replacement for Ms. Pushpanjali Ingale.
Minimum wages policy implementation
Need to deploy Operator's in MMRDA because frequent Shortfall
Follow-up for November-2025 AR Collection
Survey App testing and troubleshooting
8 Hours shift projection across MCS project Locations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</si>
  <si>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</si>
  <si>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</si>
  <si>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</si>
  <si>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</si>
  <si>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</si>
  <si>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</si>
  <si>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</si>
  <si>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</si>
  <si>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</si>
  <si>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</si>
  <si>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Hardware Supply: Completed as per BOQ and timelines; fully billed.
IT &amp; EEMS Setup: Infrastructure, servers, and EEMS software fully deployed and ready for live operation.
Substations (1, 2 &amp; 3): Data integration setup completed and tested; live data pending due to network unavailability.
Main Substation (SCADA): Integration on hold due to protocol mismatch (MODBUS vs IEC) and pending commercial agreement.
ABT Meters: Installation not finalized due to technical constraints and pending decision from JNPA.
Billing Meters: Fully operational; communication established and billing functioning smoothly.
RMU Panels: Integration pending due to incomplete LAN/OFC network.
Water Flow Meters: Installation in progress; partial completion achieved, balance planned.</t>
  </si>
  <si>
    <t>Completion of 400 MM water meter installation subject to outage availability from JNPA</t>
  </si>
  <si>
    <t>PostgreSQL, DLMS, MODBUS, GPRS, Python, DotNet MVC</t>
  </si>
  <si>
    <t xml:space="preserve">Network Unavailability: No LAN/OFC connectivity across JNPA is delaying live data flow and multiple integrations.
SCADA Integration Dependency: Integration stuck due to protocol mismatch (MODBUS vs IEC) and pending commercial agreement with GE.
ABT Meter Installation Constraints: Technical limitation (no spare metering core on HV side) and no final decision from JNPA.
Third-Party Dependencies: Progress dependent on GE SCADA, MSETCL inputs, and JNPA approvals.
RMU Communication Delay: Integration pending until OFC network is commissioned.
Water Meter Installation Delays: Dependent on site conditions (pipeline readiness, approvals, shutdowns).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</si>
  <si>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</si>
  <si>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</si>
  <si>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</si>
  <si>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</si>
  <si>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</si>
  <si>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</si>
  <si>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</si>
  <si>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</si>
  <si>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</si>
  <si>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</si>
  <si>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PRISM - SG 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RDSO Certificate in Hindi
Role &amp; Designation Menu Mapping
Seek Clarification Workflow
Morth Workflow Approval 
PSUs Executing agency case Flow redesign
</t>
  </si>
  <si>
    <t>1. Item No. of QAP Governing the Instant Stage of Inspection (Field to be Added from 4.7 to 4.20 as per BRD
2.)
Return back functionality to Railway All Officer including GSU, RDSO All Officer , PSU, Executing Agency (who add GAD data) and Inspection Agency head and users
3.)
In All QAP part A Sl. No. to be added as per BRD
4.)
In QAP part A " Executing organization of the agreement" - To be editiable mode for RDSO and Inspection Agency
5 )
In QAP part A all Girder ' field to be added  ' RDSO Drawing No. for ISMB Intermediate Cross Girder  (Refer Sec 4.1 BRD) - This is Alphanumeric , Editable and Optional fabricator submit form without filling this
6 ) add ' Inspection Agency For QAP and WPSS Approval "
Girder Specilaisation " railway Open Line / Construction / ....)</t>
  </si>
  <si>
    <t>JAVA 20, Springboot, PostgreSql, React, AWS Cloud, Microservices, Postman, Apache Tomcat webserver, SSL, Oauth, AWS ECS</t>
  </si>
  <si>
    <t xml:space="preserve">Requirement changes </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</si>
  <si>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</si>
  <si>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</si>
  <si>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</si>
  <si>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</si>
  <si>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</si>
  <si>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We have completed Withdraw application, reassign AE, and roll back the application.</t>
  </si>
  <si>
    <t>We will be working on the Legacy and Concessionary modules next week</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</si>
  <si>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</si>
  <si>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</si>
  <si>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</si>
  <si>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</si>
  <si>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</si>
  <si>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</si>
  <si>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14+2</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</si>
  <si>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</si>
  <si>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</si>
  <si>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1. 90% of bugs in CC module are fixed
2. 50% of enhancement and additions of CC module are done
3. Development of corporate website has been startted and going on track to meet 29th May as the target date
4. Development and feedback implementation of the Mobile App is going on track to meet the target Phase-I release date of 25th May
5. LED module development is going on as per planned target date of 22nd May
6. Modification/additional request from the BBD team have been developed and delivered in time
</t>
  </si>
  <si>
    <t xml:space="preserve">1. Initiating dry run of the Stall module and implement fixes and missing features accordingly to be prepared for upcoming event in mid July
2. Complete Phase-I development of the Mobile App
3. Complete manual data correction of the booking data for the CC module
4. End-to-end testing of CC module test cases/scenerios
5. Initiate performance optimization of existing API, SQL, Functions as per the report created by the DevOps
6. Payment follow-up
7. Conduct Odoo ERP demo to the ITPO stakeholders
</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</si>
  <si>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</si>
  <si>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</si>
  <si>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</si>
  <si>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</si>
  <si>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</si>
  <si>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</si>
  <si>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</si>
  <si>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</si>
  <si>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</si>
  <si>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</si>
  <si>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</si>
  <si>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</si>
  <si>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</si>
  <si>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</si>
  <si>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</si>
  <si>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</si>
  <si>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</si>
  <si>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</si>
  <si>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</si>
  <si>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</si>
  <si>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O&amp;M 2 year, last 2 quarters payment is in progress
3000 battery order received with an amount of 2.3 Cr
Wayanad 5 new Siren requirement. Approved cost is 4 Cr and its under process for financial approval.
Commercial submitted of Alappey 5 new Siren requirement with a value of 3.15Cr. TSGapproved the amount of 3 Cr. Further financial approvals are in progress.</t>
  </si>
  <si>
    <t xml:space="preserve">Delivery and installation completion of 3000 batteries.
Clearance of last two quarters bills
AMC renewal agreement supplementary sign off for 3 years
Follow up for Wayanad 5 new Siren project order. TSG has been approved the amount of 4Cr and file is under Disaster Management Department for further financial approvals.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</si>
  <si>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</si>
  <si>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</si>
  <si>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</si>
  <si>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</si>
  <si>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</si>
  <si>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</si>
  <si>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</si>
  <si>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5</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</si>
  <si>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</si>
  <si>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</si>
  <si>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Quarterly PM report submitting as per the BSCL and SPCL requirement.
•	ERP solutions developing work still going on. As per the BSCL and MD instructions almost all modules development done. Some development parts still pending. Request for services module not yet done.
•	Trade license, building plans, Property Tax, Grievances, Web Portal, modules handed over to Nagar Nigam.
•	RFS module partially done. 
</t>
  </si>
  <si>
    <t xml:space="preserve">1.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</si>
  <si>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71K Property Tax data already uploaded but only 49K bills has been generated. Need to be generated rest bills and arrears immediately.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</si>
  <si>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</si>
  <si>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</si>
  <si>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</si>
  <si>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</si>
  <si>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</si>
  <si>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
1.	11/20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</si>
  <si>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</si>
  <si>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</si>
  <si>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</si>
  <si>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</si>
  <si>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</si>
  <si>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</si>
  <si>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</si>
  <si>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</si>
  <si>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</si>
  <si>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</si>
  <si>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</si>
  <si>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</si>
  <si>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</si>
  <si>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</si>
  <si>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</si>
  <si>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</si>
  <si>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</si>
  <si>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</si>
  <si>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</si>
  <si>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</si>
  <si>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</si>
  <si>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</si>
  <si>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</si>
  <si>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</si>
  <si>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</si>
  <si>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</si>
  <si>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</si>
  <si>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</si>
  <si>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</si>
  <si>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</si>
  <si>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</si>
  <si>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</si>
  <si>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</si>
  <si>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</si>
  <si>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</si>
  <si>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</si>
  <si>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</si>
  <si>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</si>
  <si>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</si>
  <si>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</si>
  <si>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</si>
  <si>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</si>
  <si>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</si>
  <si>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</si>
  <si>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</si>
  <si>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</si>
  <si>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</si>
  <si>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</si>
  <si>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</si>
  <si>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</si>
  <si>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</si>
  <si>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roject coordinator and civil eng deployment done</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</si>
  <si>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</si>
  <si>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</si>
  <si>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BG submission done
Project survey done
9 no location approved by Client
Civil vendor finalization done
Material procurements under process
Warehouse finalization done
8 no of pole foundation work done</t>
  </si>
  <si>
    <t>1.Civil activity
2.Material follows with Purchase team
3.Balance 7 no location finalization with Client</t>
  </si>
  <si>
    <t>LED material delivery
LED Pole and structure
LED consumable Item delivery
7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</si>
  <si>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</si>
  <si>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</si>
  <si>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</si>
  <si>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</si>
  <si>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</si>
  <si>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</si>
  <si>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</si>
  <si>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</si>
  <si>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</si>
  <si>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</si>
  <si>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</si>
  <si>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</si>
  <si>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</si>
  <si>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</si>
  <si>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</si>
  <si>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</si>
  <si>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Completion of pending meter integration subject to clearance from NLC</t>
  </si>
  <si>
    <t>Software task in CMS scope is dependent upon site readiness from NLC which is pending from so long.</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</si>
  <si>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</si>
  <si>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</si>
  <si>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</si>
  <si>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</si>
  <si>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</si>
  <si>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</si>
  <si>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</si>
  <si>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</si>
  <si>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</si>
  <si>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1.Civil activity- approval with Client
2.Material follows up with purchase</t>
  </si>
  <si>
    <t>Material delivery mostly CL pole and Traffic light
Digging permission not received from client end</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</si>
  <si>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</si>
  <si>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</si>
  <si>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</si>
  <si>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</si>
  <si>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</si>
  <si>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 xml:space="preserve">16 </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</si>
  <si>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</si>
  <si>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</si>
  <si>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1. Weekly Project Summary
During this reporting period, the team continued work on the initial setup and foundational modules of the IEPFA Portal, including Signup, Claim Management, Dashboard UI, AI/ML integrations, DevOps infrastructure, and BRD preparations.
Major progress was achieved in:
1. Common module setup
2. UI/UX enhancements
3. DevOps pipeline and AWS infrastructure preparation
4. API integration activities
5. Initial AI/ML chatbot and OCR integration planning
6. Mobile application UI improvements
However, multiple activities are currently dependent on:
1.Form 5 BRD sign-off
2.GPU/Cloud resource allocation
3.AWS/Claude server provisioning
4.Build availability from development teams</t>
  </si>
  <si>
    <t>1.Accelerate BRD approval process to avoid development delays.
2.Provision Dev/UAT/Prod infrastructure immediately.
3.Allocate GPU and API resources for AI/ML activities.
4.Improve coordination between BA, FS, and QA teams for dependency management.
5.Conduct architecture review for scalable microservices implementation.</t>
  </si>
  <si>
    <t>- Backend: Node.js
- Frontend: React
- mobile: React Native</t>
  </si>
  <si>
    <t xml:space="preserve">Requirement gathering is major challenge here and repetition of BRDs </t>
  </si>
  <si>
    <t>SAHIL S</t>
  </si>
  <si>
    <t>NHAI DashCam</t>
  </si>
  <si>
    <t>NATIONAL HIGHWAY AUTHORITY OF INDIA DASHCAM NATIONAL HIGHWAY AUTHORITY OF INDIA DASHCAM NATIONAL HIGHWAY AUTHORITY OF INDIA DASHCAM</t>
  </si>
  <si>
    <t>NATIONAL HIGHWAY AUTHORITY OF INDIA DASHCAM</t>
  </si>
  <si>
    <t>Start Date (PO) : 20-Mar-26 :: End Date (PO) : 19-Mar-28</t>
  </si>
  <si>
    <t>3</t>
  </si>
  <si>
    <t>BILLING PLAN NEEDS TO CONFIRM</t>
  </si>
  <si>
    <t>Deploy Dashcam + AI/ML-based analytics system for monitoring National Highway conditions (defects, encroachments, safety issues).
•Weekly video surveys + AI-based defect detection reports
•Dashboards, analytics platform, API integration with NHAI systems
•Cloud-hosted system (99.99% uptime), data storage &amp; backup (3 months)
•Final data + source code handover at project closure
•Survey frequency : Weekly surveys (≈52 per year per stretch)
•Report submission within 3 working days after each survey</t>
  </si>
  <si>
    <t>1. we have done survey done approx. 9K Km as per RFP.
2. Manpower joined: 1. Subject Matter expert and 2. Data Scientist. 3, Project manager
3. as per BOQ  and 1 Data Scientist and 2 Project associate pending from HR end &amp; Surveyor also. 
4. KMZ and PIU details required from client end but resource is not available.
5.Our application demo done. (Recorded Meeting and SOP Required from Digital team)
6.Laptop procurement and Camera with Memory card and data card required.</t>
  </si>
  <si>
    <t>1. Survey done as per RFP for our understanding for application development.
2. PIUs and KMZ file collection from client end.(WIP)
3. Manpower deployment as per RFP.(One AI/ML &amp; 2 Project associate) Pending
4. Demo session from our development team to client((Recorded Meeting and SOP Required from Digital team)</t>
  </si>
  <si>
    <t xml:space="preserve">1. Project associate required for project ASAP.
2. Laptop required for employees 
3. PIUs and KMZ file collection
4. Internet connection required in Delhi office for NHAI project
5. Camera with Memory card and data card required.
6. Surveyor vendor details submit to HR with quote for negotiation and appointment. </t>
  </si>
  <si>
    <t>SACHIN S / TBD</t>
  </si>
  <si>
    <t>NeGD UPMS</t>
  </si>
  <si>
    <t xml:space="preserve">Unified (R&amp;D) Project Management System (UPMS) in NeGD Unified (R&amp;D) Project Management System (UPMS) in NeGD Unified (R&amp;D) Project Management System (UPMS) in NeGD </t>
  </si>
  <si>
    <t xml:space="preserve">Unified (R&amp;D) Project Management System (UPMS) in NeGD </t>
  </si>
  <si>
    <t>Start Date (PO) : 13-Apr-26 :: End Date (PO) : 12-Apr-29</t>
  </si>
  <si>
    <t>35.12 L</t>
  </si>
  <si>
    <t>Develop a Unified Project (R&amp;D) Management System (UPMS), initiated by NITI Aayog and implemented by MeitY through NeGD
•Requirement analysis, system design, and development of a secure, scalable UPMS application. Integration with external systems, dashboards, and reporting modules; ensuring data security and compliance.
•Testing, deployment, onboarding, training, and post-deployment support.
•Project duration: 3 years (Development → Stabilization → O&amp;M)
•Strict onboarding compliance: NDA signing, background verification, and client approval mandatory before deployment
Resources to be deployed—
•PM, Cloud Architect, DevOps – 1 resource each
•BA, UI/UX, Frontend Dev, Backend Dev, QA, Data Analyst – 2 resource each
•Onboarding BA – 6 resource each</t>
  </si>
  <si>
    <t>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</si>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</sst>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DF01CEE2-592A-4CE3-B145-FAA4D8916BE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F03B-8185-493E-9998-5B427B8B6368}">
  <dimension ref="A1:AD37"/>
  <sheetViews>
    <sheetView tabSelected="1" workbookViewId="0">
      <selection sqref="A1:AD37"/>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774.16116340000076</v>
      </c>
      <c r="I2" s="8">
        <v>23</v>
      </c>
      <c r="J2" s="8">
        <v>797.16116340000076</v>
      </c>
      <c r="K2" s="8">
        <v>55.000000000000007</v>
      </c>
      <c r="L2" s="9">
        <v>66.08338339999932</v>
      </c>
      <c r="M2" s="8">
        <v>46.680252599999996</v>
      </c>
      <c r="N2" s="8">
        <v>23.340126300000005</v>
      </c>
      <c r="O2" s="8" t="s">
        <v>34</v>
      </c>
      <c r="P2" s="10">
        <v>0.92135220198491941</v>
      </c>
      <c r="Q2" s="11" t="s">
        <v>35</v>
      </c>
      <c r="R2" s="11" t="s">
        <v>36</v>
      </c>
      <c r="S2" s="11" t="s">
        <v>37</v>
      </c>
      <c r="T2" s="11" t="s">
        <v>38</v>
      </c>
      <c r="U2" s="11" t="s">
        <v>39</v>
      </c>
      <c r="V2" s="11" t="s">
        <v>40</v>
      </c>
      <c r="W2" s="11" t="s">
        <v>41</v>
      </c>
      <c r="X2" s="11" t="s">
        <v>42</v>
      </c>
      <c r="Y2" s="11">
        <v>0</v>
      </c>
      <c r="Z2" s="12">
        <v>46157</v>
      </c>
      <c r="AA2" s="13">
        <v>0.48492421464871305</v>
      </c>
      <c r="AB2" s="13">
        <v>0.4323402397342212</v>
      </c>
      <c r="AC2" s="14" t="s">
        <v>31</v>
      </c>
      <c r="AD2" s="15" t="s">
        <v>43</v>
      </c>
    </row>
    <row r="3" spans="1:30" x14ac:dyDescent="0.25">
      <c r="A3" s="5">
        <v>2</v>
      </c>
      <c r="B3" s="6" t="s">
        <v>44</v>
      </c>
      <c r="C3" s="7" t="s">
        <v>45</v>
      </c>
      <c r="D3" s="7" t="s">
        <v>46</v>
      </c>
      <c r="E3" s="7" t="s">
        <v>32</v>
      </c>
      <c r="F3" s="7" t="s">
        <v>33</v>
      </c>
      <c r="G3" s="8">
        <v>1440.002</v>
      </c>
      <c r="H3" s="8">
        <v>1068.761694</v>
      </c>
      <c r="I3" s="8">
        <v>45</v>
      </c>
      <c r="J3" s="8">
        <v>1113.761694</v>
      </c>
      <c r="K3" s="8">
        <v>66</v>
      </c>
      <c r="L3" s="9">
        <v>371.24030599999992</v>
      </c>
      <c r="M3" s="8">
        <v>90.125</v>
      </c>
      <c r="N3" s="8">
        <v>45.0625</v>
      </c>
      <c r="O3" s="8" t="s">
        <v>34</v>
      </c>
      <c r="P3" s="10">
        <v>0.74219459000751398</v>
      </c>
      <c r="Q3" s="11" t="s">
        <v>35</v>
      </c>
      <c r="R3" s="11" t="s">
        <v>47</v>
      </c>
      <c r="S3" s="11" t="s">
        <v>48</v>
      </c>
      <c r="T3" s="11" t="s">
        <v>49</v>
      </c>
      <c r="U3" s="11" t="s">
        <v>50</v>
      </c>
      <c r="V3" s="11" t="s">
        <v>51</v>
      </c>
      <c r="W3" s="11" t="s">
        <v>52</v>
      </c>
      <c r="X3" s="11" t="s">
        <v>53</v>
      </c>
      <c r="Y3" s="11" t="s">
        <v>54</v>
      </c>
      <c r="Z3" s="12">
        <v>46156</v>
      </c>
      <c r="AA3" s="13">
        <v>0.26090761696895148</v>
      </c>
      <c r="AB3" s="13">
        <v>0.19000000008625473</v>
      </c>
      <c r="AC3" s="14" t="s">
        <v>45</v>
      </c>
      <c r="AD3" s="15" t="s">
        <v>55</v>
      </c>
    </row>
    <row r="4" spans="1:30" x14ac:dyDescent="0.25">
      <c r="A4" s="5">
        <v>3</v>
      </c>
      <c r="B4" s="6" t="s">
        <v>56</v>
      </c>
      <c r="C4" s="7" t="s">
        <v>57</v>
      </c>
      <c r="D4" s="7" t="s">
        <v>58</v>
      </c>
      <c r="E4" s="7" t="s">
        <v>32</v>
      </c>
      <c r="F4" s="7" t="s">
        <v>33</v>
      </c>
      <c r="G4" s="8">
        <v>849.8214484745763</v>
      </c>
      <c r="H4" s="8">
        <v>636.39520110000012</v>
      </c>
      <c r="I4" s="8">
        <v>100</v>
      </c>
      <c r="J4" s="8">
        <v>736.39520110000012</v>
      </c>
      <c r="K4" s="8">
        <v>41</v>
      </c>
      <c r="L4" s="9">
        <v>213.42624737457618</v>
      </c>
      <c r="M4" s="8">
        <v>68.171765700000009</v>
      </c>
      <c r="N4" s="8">
        <v>34.267469200000001</v>
      </c>
      <c r="O4" s="8" t="s">
        <v>59</v>
      </c>
      <c r="P4" s="10">
        <v>0.74885754206642485</v>
      </c>
      <c r="Q4" s="11" t="s">
        <v>35</v>
      </c>
      <c r="R4" s="11" t="s">
        <v>60</v>
      </c>
      <c r="S4" s="11" t="s">
        <v>61</v>
      </c>
      <c r="T4" s="11" t="s">
        <v>62</v>
      </c>
      <c r="U4" s="11" t="s">
        <v>63</v>
      </c>
      <c r="V4" s="11" t="s">
        <v>64</v>
      </c>
      <c r="W4" s="11" t="s">
        <v>65</v>
      </c>
      <c r="X4" s="11" t="s">
        <v>66</v>
      </c>
      <c r="Y4" s="11" t="s">
        <v>67</v>
      </c>
      <c r="Z4" s="12">
        <v>46163</v>
      </c>
      <c r="AA4" s="13">
        <v>0.30930749824405201</v>
      </c>
      <c r="AB4" s="13">
        <v>0.11942473989981339</v>
      </c>
      <c r="AC4" s="14" t="s">
        <v>57</v>
      </c>
      <c r="AD4" s="15" t="s">
        <v>68</v>
      </c>
    </row>
    <row r="5" spans="1:30" x14ac:dyDescent="0.25">
      <c r="A5" s="5">
        <v>4</v>
      </c>
      <c r="B5" s="6" t="s">
        <v>69</v>
      </c>
      <c r="C5" s="7" t="s">
        <v>70</v>
      </c>
      <c r="D5" s="7" t="s">
        <v>71</v>
      </c>
      <c r="E5" s="7" t="s">
        <v>72</v>
      </c>
      <c r="F5" s="7" t="s">
        <v>33</v>
      </c>
      <c r="G5" s="8">
        <v>2413.0259999999998</v>
      </c>
      <c r="H5" s="8">
        <v>1225.582085</v>
      </c>
      <c r="I5" s="8">
        <v>91</v>
      </c>
      <c r="J5" s="8">
        <v>1316.582085</v>
      </c>
      <c r="K5" s="8">
        <v>405</v>
      </c>
      <c r="L5" s="9">
        <v>1187.4439149999998</v>
      </c>
      <c r="M5" s="8">
        <v>91.286500000000004</v>
      </c>
      <c r="N5" s="8">
        <v>0</v>
      </c>
      <c r="O5" s="8" t="s">
        <v>73</v>
      </c>
      <c r="P5" s="10">
        <v>0.50790256093386477</v>
      </c>
      <c r="Q5" s="11" t="s">
        <v>74</v>
      </c>
      <c r="R5" s="11" t="s">
        <v>75</v>
      </c>
      <c r="S5" s="11" t="s">
        <v>76</v>
      </c>
      <c r="T5" s="11" t="s">
        <v>77</v>
      </c>
      <c r="U5" s="11" t="s">
        <v>78</v>
      </c>
      <c r="V5" s="11" t="s">
        <v>79</v>
      </c>
      <c r="W5" s="11" t="s">
        <v>80</v>
      </c>
      <c r="X5" s="11" t="s">
        <v>81</v>
      </c>
      <c r="Y5" s="11" t="s">
        <v>82</v>
      </c>
      <c r="Z5" s="12">
        <v>46142</v>
      </c>
      <c r="AA5" s="13">
        <v>0.38639284961749187</v>
      </c>
      <c r="AB5" s="13">
        <v>0.33027289323308273</v>
      </c>
      <c r="AC5" s="14" t="s">
        <v>70</v>
      </c>
      <c r="AD5" s="15" t="s">
        <v>83</v>
      </c>
    </row>
    <row r="6" spans="1:30" x14ac:dyDescent="0.25">
      <c r="A6" s="5">
        <v>5</v>
      </c>
      <c r="B6" s="6" t="s">
        <v>84</v>
      </c>
      <c r="C6" s="7" t="s">
        <v>85</v>
      </c>
      <c r="D6" s="7" t="s">
        <v>85</v>
      </c>
      <c r="E6" s="7" t="s">
        <v>32</v>
      </c>
      <c r="F6" s="7" t="s">
        <v>86</v>
      </c>
      <c r="G6" s="8">
        <v>1265.69472</v>
      </c>
      <c r="H6" s="8">
        <v>559.88437499999998</v>
      </c>
      <c r="I6" s="8">
        <v>0</v>
      </c>
      <c r="J6" s="8">
        <v>559.88437499999998</v>
      </c>
      <c r="K6" s="8">
        <v>147</v>
      </c>
      <c r="L6" s="9">
        <v>705.81034499999998</v>
      </c>
      <c r="M6" s="8">
        <v>-62.209375000000001</v>
      </c>
      <c r="N6" s="8">
        <v>-62.209375000000001</v>
      </c>
      <c r="O6" s="8" t="s">
        <v>87</v>
      </c>
      <c r="P6" s="10">
        <v>0.44235340967528092</v>
      </c>
      <c r="Q6" s="11" t="s">
        <v>88</v>
      </c>
      <c r="R6" s="11" t="s">
        <v>89</v>
      </c>
      <c r="S6" s="11" t="s">
        <v>90</v>
      </c>
      <c r="T6" s="11" t="s">
        <v>91</v>
      </c>
      <c r="U6" s="11" t="s">
        <v>92</v>
      </c>
      <c r="V6" s="11" t="s">
        <v>93</v>
      </c>
      <c r="W6" s="11" t="s">
        <v>94</v>
      </c>
      <c r="X6" s="16" t="s">
        <v>95</v>
      </c>
      <c r="Y6" s="11" t="s">
        <v>96</v>
      </c>
      <c r="Z6" s="12">
        <v>46135</v>
      </c>
      <c r="AA6" s="13">
        <v>-1.3948030716163493</v>
      </c>
      <c r="AB6" s="13">
        <v>0.15352074241150571</v>
      </c>
      <c r="AC6" s="14" t="s">
        <v>85</v>
      </c>
      <c r="AD6" s="15" t="s">
        <v>97</v>
      </c>
    </row>
    <row r="7" spans="1:30" x14ac:dyDescent="0.25">
      <c r="A7" s="5">
        <v>6</v>
      </c>
      <c r="B7" s="6" t="s">
        <v>98</v>
      </c>
      <c r="C7" s="7" t="s">
        <v>99</v>
      </c>
      <c r="D7" s="7" t="s">
        <v>100</v>
      </c>
      <c r="E7" s="7" t="s">
        <v>32</v>
      </c>
      <c r="F7" s="7" t="s">
        <v>86</v>
      </c>
      <c r="G7" s="8">
        <v>2186.2800000000002</v>
      </c>
      <c r="H7" s="8">
        <v>676.2</v>
      </c>
      <c r="I7" s="8">
        <v>616</v>
      </c>
      <c r="J7" s="8">
        <v>1292.2</v>
      </c>
      <c r="K7" s="8">
        <v>284</v>
      </c>
      <c r="L7" s="9">
        <v>1510.0800000000002</v>
      </c>
      <c r="M7" s="8">
        <v>0</v>
      </c>
      <c r="N7" s="8">
        <v>0</v>
      </c>
      <c r="O7" s="8" t="s">
        <v>101</v>
      </c>
      <c r="P7" s="10">
        <v>0.3092924968439541</v>
      </c>
      <c r="Q7" s="11" t="s">
        <v>102</v>
      </c>
      <c r="R7" s="11" t="s">
        <v>103</v>
      </c>
      <c r="S7" s="11" t="s">
        <v>104</v>
      </c>
      <c r="T7" s="11" t="s">
        <v>105</v>
      </c>
      <c r="U7" s="11" t="s">
        <v>106</v>
      </c>
      <c r="V7" s="11" t="s">
        <v>107</v>
      </c>
      <c r="W7" s="11" t="s">
        <v>108</v>
      </c>
      <c r="X7" s="11" t="s">
        <v>109</v>
      </c>
      <c r="Y7" s="11" t="s">
        <v>110</v>
      </c>
      <c r="Z7" s="12">
        <v>46122</v>
      </c>
      <c r="AA7" s="13">
        <v>0.28607209338948913</v>
      </c>
      <c r="AB7" s="13">
        <v>0.32590705634920647</v>
      </c>
      <c r="AC7" s="14" t="s">
        <v>99</v>
      </c>
      <c r="AD7" s="15" t="s">
        <v>111</v>
      </c>
    </row>
    <row r="8" spans="1:30" x14ac:dyDescent="0.25">
      <c r="A8" s="5">
        <v>7</v>
      </c>
      <c r="B8" s="6" t="s">
        <v>112</v>
      </c>
      <c r="C8" s="7" t="s">
        <v>113</v>
      </c>
      <c r="D8" s="7" t="s">
        <v>114</v>
      </c>
      <c r="E8" s="7" t="s">
        <v>32</v>
      </c>
      <c r="F8" s="7" t="s">
        <v>33</v>
      </c>
      <c r="G8" s="8">
        <v>1606.08</v>
      </c>
      <c r="H8" s="8">
        <v>958.56200449999983</v>
      </c>
      <c r="I8" s="8">
        <v>67</v>
      </c>
      <c r="J8" s="8">
        <v>1025.5620044999998</v>
      </c>
      <c r="K8" s="8">
        <v>84</v>
      </c>
      <c r="L8" s="9">
        <v>647.5179955000001</v>
      </c>
      <c r="M8" s="8">
        <v>66.797672000000006</v>
      </c>
      <c r="N8" s="8">
        <v>0</v>
      </c>
      <c r="O8" s="8" t="s">
        <v>59</v>
      </c>
      <c r="P8" s="10">
        <v>0.59683328632446697</v>
      </c>
      <c r="Q8" s="11" t="s">
        <v>35</v>
      </c>
      <c r="R8" s="11" t="s">
        <v>115</v>
      </c>
      <c r="S8" s="11" t="s">
        <v>116</v>
      </c>
      <c r="T8" s="11" t="s">
        <v>117</v>
      </c>
      <c r="U8" s="11" t="s">
        <v>118</v>
      </c>
      <c r="V8" s="11" t="s">
        <v>119</v>
      </c>
      <c r="W8" s="11" t="s">
        <v>120</v>
      </c>
      <c r="X8" s="11" t="s">
        <v>121</v>
      </c>
      <c r="Y8" s="11" t="s">
        <v>122</v>
      </c>
      <c r="Z8" s="12">
        <v>46156</v>
      </c>
      <c r="AA8" s="13">
        <v>0.21116623465333351</v>
      </c>
      <c r="AB8" s="13">
        <v>0.10999999996973608</v>
      </c>
      <c r="AC8" s="14" t="s">
        <v>113</v>
      </c>
      <c r="AD8" s="15" t="s">
        <v>123</v>
      </c>
    </row>
    <row r="9" spans="1:30" x14ac:dyDescent="0.25">
      <c r="A9" s="5">
        <v>8</v>
      </c>
      <c r="B9" s="6" t="s">
        <v>124</v>
      </c>
      <c r="C9" s="7" t="s">
        <v>124</v>
      </c>
      <c r="D9" s="7" t="s">
        <v>124</v>
      </c>
      <c r="E9" s="7" t="s">
        <v>72</v>
      </c>
      <c r="F9" s="7" t="s">
        <v>125</v>
      </c>
      <c r="G9" s="8">
        <v>1372.5805700000001</v>
      </c>
      <c r="H9" s="8">
        <v>496.28673269999996</v>
      </c>
      <c r="I9" s="8">
        <v>33</v>
      </c>
      <c r="J9" s="8">
        <v>529.2867326999999</v>
      </c>
      <c r="K9" s="8">
        <v>231</v>
      </c>
      <c r="L9" s="9">
        <v>876.29383730000018</v>
      </c>
      <c r="M9" s="8">
        <v>32.968117100000001</v>
      </c>
      <c r="N9" s="8">
        <v>0</v>
      </c>
      <c r="O9" s="8" t="s">
        <v>126</v>
      </c>
      <c r="P9" s="10">
        <v>0.36157202247151138</v>
      </c>
      <c r="Q9" s="11" t="s">
        <v>127</v>
      </c>
      <c r="R9" s="11" t="s">
        <v>128</v>
      </c>
      <c r="S9" s="11" t="s">
        <v>129</v>
      </c>
      <c r="T9" s="11" t="s">
        <v>130</v>
      </c>
      <c r="U9" s="11" t="s">
        <v>131</v>
      </c>
      <c r="V9" s="11" t="s">
        <v>132</v>
      </c>
      <c r="W9" s="11" t="s">
        <v>133</v>
      </c>
      <c r="X9" s="11" t="s">
        <v>134</v>
      </c>
      <c r="Y9" s="11" t="s">
        <v>135</v>
      </c>
      <c r="Z9" s="12">
        <v>46162</v>
      </c>
      <c r="AA9" s="13">
        <v>9.4771522523708573E-2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1144</v>
      </c>
      <c r="J10" s="8">
        <v>4956.5</v>
      </c>
      <c r="K10" s="8">
        <v>1035</v>
      </c>
      <c r="L10" s="9">
        <v>1525</v>
      </c>
      <c r="M10" s="8">
        <v>0</v>
      </c>
      <c r="N10" s="8">
        <v>0</v>
      </c>
      <c r="O10" s="8" t="s">
        <v>139</v>
      </c>
      <c r="P10" s="10">
        <v>0.7142857142857143</v>
      </c>
      <c r="Q10" s="11" t="s">
        <v>74</v>
      </c>
      <c r="R10" s="11" t="s">
        <v>140</v>
      </c>
      <c r="S10" s="11" t="s">
        <v>141</v>
      </c>
      <c r="T10" s="11" t="s">
        <v>142</v>
      </c>
      <c r="U10" s="11" t="s">
        <v>143</v>
      </c>
      <c r="V10" s="11" t="s">
        <v>144</v>
      </c>
      <c r="W10" s="11" t="s">
        <v>145</v>
      </c>
      <c r="X10" s="11" t="s">
        <v>134</v>
      </c>
      <c r="Y10" s="11" t="s">
        <v>146</v>
      </c>
      <c r="Z10" s="12">
        <v>46157</v>
      </c>
      <c r="AA10" s="13">
        <v>0.3771051418170831</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347.84782130000019</v>
      </c>
      <c r="I11" s="8">
        <v>8</v>
      </c>
      <c r="J11" s="8">
        <v>355.84782130000019</v>
      </c>
      <c r="K11" s="8">
        <v>67</v>
      </c>
      <c r="L11" s="9">
        <v>332.84512369999982</v>
      </c>
      <c r="M11" s="8">
        <v>2.6633095000000009</v>
      </c>
      <c r="N11" s="8">
        <v>8.0768439999999995</v>
      </c>
      <c r="O11" s="8" t="s">
        <v>152</v>
      </c>
      <c r="P11" s="10">
        <v>0.51102016534048278</v>
      </c>
      <c r="Q11" s="11" t="s">
        <v>35</v>
      </c>
      <c r="R11" s="11" t="s">
        <v>153</v>
      </c>
      <c r="S11" s="11" t="s">
        <v>37</v>
      </c>
      <c r="T11" s="11" t="s">
        <v>154</v>
      </c>
      <c r="U11" s="11" t="s">
        <v>155</v>
      </c>
      <c r="V11" s="11" t="s">
        <v>156</v>
      </c>
      <c r="W11" s="11" t="s">
        <v>157</v>
      </c>
      <c r="X11" s="11" t="s">
        <v>134</v>
      </c>
      <c r="Y11" s="11">
        <v>0</v>
      </c>
      <c r="Z11" s="12">
        <v>46163</v>
      </c>
      <c r="AA11" s="13">
        <v>0.4142236295434828</v>
      </c>
      <c r="AB11" s="13">
        <v>0.12040585230689282</v>
      </c>
      <c r="AC11" s="14" t="s">
        <v>149</v>
      </c>
      <c r="AD11" s="15" t="s">
        <v>158</v>
      </c>
    </row>
    <row r="12" spans="1:30" x14ac:dyDescent="0.25">
      <c r="A12" s="5">
        <v>11</v>
      </c>
      <c r="B12" s="6" t="s">
        <v>159</v>
      </c>
      <c r="C12" s="7" t="s">
        <v>160</v>
      </c>
      <c r="D12" s="7" t="s">
        <v>160</v>
      </c>
      <c r="E12" s="7" t="s">
        <v>72</v>
      </c>
      <c r="F12" s="7" t="s">
        <v>125</v>
      </c>
      <c r="G12" s="8">
        <v>1045.762712</v>
      </c>
      <c r="H12" s="8">
        <v>770.78811320000011</v>
      </c>
      <c r="I12" s="8">
        <v>0</v>
      </c>
      <c r="J12" s="8">
        <v>770.78811320000011</v>
      </c>
      <c r="K12" s="8">
        <v>0</v>
      </c>
      <c r="L12" s="9">
        <v>274.97459879999985</v>
      </c>
      <c r="M12" s="8">
        <v>0</v>
      </c>
      <c r="N12" s="8">
        <v>0</v>
      </c>
      <c r="O12" s="8" t="s">
        <v>161</v>
      </c>
      <c r="P12" s="10">
        <v>0.73705832533068949</v>
      </c>
      <c r="Q12" s="11" t="s">
        <v>162</v>
      </c>
      <c r="R12" s="11" t="s">
        <v>163</v>
      </c>
      <c r="S12" s="11" t="s">
        <v>164</v>
      </c>
      <c r="T12" s="11" t="s">
        <v>165</v>
      </c>
      <c r="U12" s="11" t="s">
        <v>166</v>
      </c>
      <c r="V12" s="11" t="s">
        <v>167</v>
      </c>
      <c r="W12" s="11" t="s">
        <v>168</v>
      </c>
      <c r="X12" s="11" t="s">
        <v>134</v>
      </c>
      <c r="Y12" s="11" t="s">
        <v>169</v>
      </c>
      <c r="Z12" s="12">
        <v>46146</v>
      </c>
      <c r="AA12" s="13">
        <v>0.16985596624000832</v>
      </c>
      <c r="AB12" s="13">
        <v>0.18000000439604424</v>
      </c>
      <c r="AC12" s="14" t="s">
        <v>160</v>
      </c>
      <c r="AD12" s="15" t="s">
        <v>170</v>
      </c>
    </row>
    <row r="13" spans="1:30" x14ac:dyDescent="0.25">
      <c r="A13" s="5">
        <v>12</v>
      </c>
      <c r="B13" s="6" t="s">
        <v>171</v>
      </c>
      <c r="C13" s="7" t="s">
        <v>172</v>
      </c>
      <c r="D13" s="7" t="s">
        <v>171</v>
      </c>
      <c r="E13" s="7" t="s">
        <v>72</v>
      </c>
      <c r="F13" s="7" t="s">
        <v>125</v>
      </c>
      <c r="G13" s="8">
        <v>2019.8763390000001</v>
      </c>
      <c r="H13" s="8">
        <v>493.68378150000001</v>
      </c>
      <c r="I13" s="8">
        <v>0</v>
      </c>
      <c r="J13" s="8">
        <v>493.68378150000001</v>
      </c>
      <c r="K13" s="8">
        <v>0</v>
      </c>
      <c r="L13" s="9">
        <v>1526.1925575</v>
      </c>
      <c r="M13" s="8">
        <v>0</v>
      </c>
      <c r="N13" s="8">
        <v>0</v>
      </c>
      <c r="O13" s="8" t="s">
        <v>152</v>
      </c>
      <c r="P13" s="10">
        <v>0.24441287417843255</v>
      </c>
      <c r="Q13" s="11" t="s">
        <v>74</v>
      </c>
      <c r="R13" s="11" t="s">
        <v>173</v>
      </c>
      <c r="S13" s="11" t="s">
        <v>174</v>
      </c>
      <c r="T13" s="11" t="s">
        <v>175</v>
      </c>
      <c r="U13" s="11" t="s">
        <v>176</v>
      </c>
      <c r="V13" s="11" t="s">
        <v>177</v>
      </c>
      <c r="W13" s="11" t="s">
        <v>178</v>
      </c>
      <c r="X13" s="11" t="s">
        <v>134</v>
      </c>
      <c r="Y13" s="11" t="s">
        <v>179</v>
      </c>
      <c r="Z13" s="12">
        <v>46146</v>
      </c>
      <c r="AA13" s="13">
        <v>0.20489999998701292</v>
      </c>
      <c r="AB13" s="13">
        <v>0.2046391013686556</v>
      </c>
      <c r="AC13" s="14" t="s">
        <v>172</v>
      </c>
      <c r="AD13" s="15" t="s">
        <v>170</v>
      </c>
    </row>
    <row r="14" spans="1:30" x14ac:dyDescent="0.25">
      <c r="A14" s="5">
        <v>13</v>
      </c>
      <c r="B14" s="6" t="s">
        <v>180</v>
      </c>
      <c r="C14" s="7" t="s">
        <v>181</v>
      </c>
      <c r="D14" s="7" t="s">
        <v>182</v>
      </c>
      <c r="E14" s="7" t="s">
        <v>72</v>
      </c>
      <c r="F14" s="7" t="s">
        <v>125</v>
      </c>
      <c r="G14" s="8">
        <v>2903.04126</v>
      </c>
      <c r="H14" s="8">
        <v>2182.1293272000007</v>
      </c>
      <c r="I14" s="8">
        <v>2</v>
      </c>
      <c r="J14" s="8">
        <v>2184.1293272000007</v>
      </c>
      <c r="K14" s="8">
        <v>1473</v>
      </c>
      <c r="L14" s="9">
        <v>720.91193279999925</v>
      </c>
      <c r="M14" s="8">
        <v>0</v>
      </c>
      <c r="N14" s="8">
        <v>0</v>
      </c>
      <c r="O14" s="8" t="s">
        <v>183</v>
      </c>
      <c r="P14" s="10">
        <v>0.75167010447519467</v>
      </c>
      <c r="Q14" s="11" t="s">
        <v>74</v>
      </c>
      <c r="R14" s="11" t="s">
        <v>184</v>
      </c>
      <c r="S14" s="11" t="s">
        <v>185</v>
      </c>
      <c r="T14" s="11" t="s">
        <v>186</v>
      </c>
      <c r="U14" s="11" t="s">
        <v>187</v>
      </c>
      <c r="V14" s="11" t="s">
        <v>188</v>
      </c>
      <c r="W14" s="11" t="s">
        <v>189</v>
      </c>
      <c r="X14" s="11" t="s">
        <v>134</v>
      </c>
      <c r="Y14" s="11" t="s">
        <v>190</v>
      </c>
      <c r="Z14" s="12">
        <v>46162</v>
      </c>
      <c r="AA14" s="13">
        <v>0.1799999999028975</v>
      </c>
      <c r="AB14" s="13">
        <v>-0.204144834903355</v>
      </c>
      <c r="AC14" s="14" t="s">
        <v>181</v>
      </c>
      <c r="AD14" s="15" t="s">
        <v>191</v>
      </c>
    </row>
    <row r="15" spans="1:30" x14ac:dyDescent="0.25">
      <c r="A15" s="5">
        <v>14</v>
      </c>
      <c r="B15" s="6" t="s">
        <v>192</v>
      </c>
      <c r="C15" s="7" t="s">
        <v>193</v>
      </c>
      <c r="D15" s="7" t="s">
        <v>193</v>
      </c>
      <c r="E15" s="7" t="s">
        <v>72</v>
      </c>
      <c r="F15" s="7" t="s">
        <v>86</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46135</v>
      </c>
      <c r="AA15" s="13" t="s">
        <v>204</v>
      </c>
      <c r="AB15" s="13">
        <v>-9.5509698226650848</v>
      </c>
      <c r="AC15" s="14" t="s">
        <v>193</v>
      </c>
      <c r="AD15" s="15" t="s">
        <v>205</v>
      </c>
    </row>
    <row r="16" spans="1:30" x14ac:dyDescent="0.25">
      <c r="A16" s="5">
        <v>15</v>
      </c>
      <c r="B16" s="6" t="s">
        <v>206</v>
      </c>
      <c r="C16" s="7" t="s">
        <v>207</v>
      </c>
      <c r="D16" s="7" t="s">
        <v>206</v>
      </c>
      <c r="E16" s="7" t="s">
        <v>208</v>
      </c>
      <c r="F16" s="7" t="s">
        <v>125</v>
      </c>
      <c r="G16" s="8">
        <v>669.18430290000003</v>
      </c>
      <c r="H16" s="8">
        <v>666.07277790000012</v>
      </c>
      <c r="I16" s="8">
        <v>0</v>
      </c>
      <c r="J16" s="8">
        <v>666.07277790000012</v>
      </c>
      <c r="K16" s="8">
        <v>151</v>
      </c>
      <c r="L16" s="9">
        <v>3.1115249999999151</v>
      </c>
      <c r="M16" s="8">
        <v>0</v>
      </c>
      <c r="N16" s="8">
        <v>0</v>
      </c>
      <c r="O16" s="8" t="s">
        <v>209</v>
      </c>
      <c r="P16" s="10">
        <v>0.99535027198558645</v>
      </c>
      <c r="Q16" s="16" t="s">
        <v>210</v>
      </c>
      <c r="R16" s="11" t="s">
        <v>211</v>
      </c>
      <c r="S16" s="11" t="s">
        <v>212</v>
      </c>
      <c r="T16" s="11" t="s">
        <v>198</v>
      </c>
      <c r="U16" s="11" t="s">
        <v>213</v>
      </c>
      <c r="V16" s="11" t="s">
        <v>214</v>
      </c>
      <c r="W16" s="11" t="s">
        <v>215</v>
      </c>
      <c r="X16" s="11" t="s">
        <v>134</v>
      </c>
      <c r="Y16" s="11" t="s">
        <v>216</v>
      </c>
      <c r="Z16" s="12">
        <v>46149</v>
      </c>
      <c r="AA16" s="13" t="s">
        <v>204</v>
      </c>
      <c r="AB16" s="13">
        <v>0.20000000003501683</v>
      </c>
      <c r="AC16" s="14" t="s">
        <v>207</v>
      </c>
      <c r="AD16" s="15" t="s">
        <v>217</v>
      </c>
    </row>
    <row r="17" spans="1:30" x14ac:dyDescent="0.25">
      <c r="A17" s="5">
        <v>16</v>
      </c>
      <c r="B17" s="6" t="s">
        <v>218</v>
      </c>
      <c r="C17" s="7" t="s">
        <v>219</v>
      </c>
      <c r="D17" s="7" t="s">
        <v>220</v>
      </c>
      <c r="E17" s="7" t="s">
        <v>72</v>
      </c>
      <c r="F17" s="7" t="s">
        <v>125</v>
      </c>
      <c r="G17" s="8">
        <v>437.16408000000001</v>
      </c>
      <c r="H17" s="8">
        <v>358.69312769999993</v>
      </c>
      <c r="I17" s="8">
        <v>72</v>
      </c>
      <c r="J17" s="8">
        <v>430.69312769999993</v>
      </c>
      <c r="K17" s="8">
        <v>260</v>
      </c>
      <c r="L17" s="9">
        <v>78.470952300000079</v>
      </c>
      <c r="M17" s="8">
        <v>144.48272849999998</v>
      </c>
      <c r="N17" s="8">
        <v>72.2049339</v>
      </c>
      <c r="O17" s="8" t="s">
        <v>221</v>
      </c>
      <c r="P17" s="10">
        <v>0.82050000013724811</v>
      </c>
      <c r="Q17" s="11" t="s">
        <v>35</v>
      </c>
      <c r="R17" s="11" t="s">
        <v>222</v>
      </c>
      <c r="S17" s="11" t="s">
        <v>223</v>
      </c>
      <c r="T17" s="11" t="s">
        <v>224</v>
      </c>
      <c r="U17" s="11" t="s">
        <v>225</v>
      </c>
      <c r="V17" s="11" t="s">
        <v>226</v>
      </c>
      <c r="W17" s="11" t="s">
        <v>227</v>
      </c>
      <c r="X17" s="11" t="s">
        <v>134</v>
      </c>
      <c r="Y17" s="11" t="s">
        <v>228</v>
      </c>
      <c r="Z17" s="12">
        <v>46163</v>
      </c>
      <c r="AA17" s="13">
        <v>0.84701213702793943</v>
      </c>
      <c r="AB17" s="13" t="s">
        <v>204</v>
      </c>
      <c r="AC17" s="14" t="s">
        <v>219</v>
      </c>
      <c r="AD17" s="15" t="s">
        <v>229</v>
      </c>
    </row>
    <row r="18" spans="1:30" x14ac:dyDescent="0.25">
      <c r="A18" s="5">
        <v>17</v>
      </c>
      <c r="B18" s="6" t="s">
        <v>230</v>
      </c>
      <c r="C18" s="7" t="s">
        <v>231</v>
      </c>
      <c r="D18" s="7" t="s">
        <v>232</v>
      </c>
      <c r="E18" s="7" t="s">
        <v>72</v>
      </c>
      <c r="F18" s="7" t="s">
        <v>233</v>
      </c>
      <c r="G18" s="8">
        <v>171.31355932203391</v>
      </c>
      <c r="H18" s="8">
        <v>171.31355930000001</v>
      </c>
      <c r="I18" s="8">
        <v>0</v>
      </c>
      <c r="J18" s="8">
        <v>171.31355930000001</v>
      </c>
      <c r="K18" s="8">
        <v>51</v>
      </c>
      <c r="L18" s="9">
        <v>2.2033901814211276E-8</v>
      </c>
      <c r="M18" s="8">
        <v>0</v>
      </c>
      <c r="N18" s="8">
        <v>0</v>
      </c>
      <c r="O18" s="8" t="s">
        <v>234</v>
      </c>
      <c r="P18" s="10">
        <v>0.99999999987138266</v>
      </c>
      <c r="Q18" s="11" t="s">
        <v>235</v>
      </c>
      <c r="R18" s="11" t="s">
        <v>236</v>
      </c>
      <c r="S18" s="11" t="s">
        <v>237</v>
      </c>
      <c r="T18" s="11" t="s">
        <v>238</v>
      </c>
      <c r="U18" s="30" t="s">
        <v>433</v>
      </c>
      <c r="V18" s="11" t="s">
        <v>239</v>
      </c>
      <c r="W18" s="11" t="s">
        <v>240</v>
      </c>
      <c r="X18" s="11" t="s">
        <v>241</v>
      </c>
      <c r="Y18" s="11" t="s">
        <v>242</v>
      </c>
      <c r="Z18" s="12">
        <v>46142</v>
      </c>
      <c r="AA18" s="13">
        <v>0.21799999984005936</v>
      </c>
      <c r="AB18" s="13" t="s">
        <v>204</v>
      </c>
      <c r="AC18" s="14" t="s">
        <v>231</v>
      </c>
      <c r="AD18" s="15" t="s">
        <v>243</v>
      </c>
    </row>
    <row r="19" spans="1:30" x14ac:dyDescent="0.25">
      <c r="A19" s="5">
        <v>18</v>
      </c>
      <c r="B19" s="6" t="s">
        <v>244</v>
      </c>
      <c r="C19" s="7" t="s">
        <v>245</v>
      </c>
      <c r="D19" s="7" t="s">
        <v>246</v>
      </c>
      <c r="E19" s="7" t="s">
        <v>32</v>
      </c>
      <c r="F19" s="7" t="s">
        <v>86</v>
      </c>
      <c r="G19" s="8">
        <v>111.36</v>
      </c>
      <c r="H19" s="8">
        <v>111.36</v>
      </c>
      <c r="I19" s="8">
        <v>0</v>
      </c>
      <c r="J19" s="8">
        <v>111.36</v>
      </c>
      <c r="K19" s="8">
        <v>0</v>
      </c>
      <c r="L19" s="9">
        <v>0</v>
      </c>
      <c r="M19" s="8">
        <v>55.68</v>
      </c>
      <c r="N19" s="8">
        <v>0</v>
      </c>
      <c r="O19" s="8" t="s">
        <v>247</v>
      </c>
      <c r="P19" s="10">
        <v>1</v>
      </c>
      <c r="Q19" s="11" t="s">
        <v>248</v>
      </c>
      <c r="R19" s="11" t="s">
        <v>249</v>
      </c>
      <c r="S19" s="11" t="s">
        <v>250</v>
      </c>
      <c r="T19" s="11" t="s">
        <v>251</v>
      </c>
      <c r="U19" s="11" t="s">
        <v>252</v>
      </c>
      <c r="V19" s="11" t="s">
        <v>253</v>
      </c>
      <c r="W19" s="11" t="s">
        <v>254</v>
      </c>
      <c r="X19" s="11" t="s">
        <v>255</v>
      </c>
      <c r="Y19" s="11" t="s">
        <v>256</v>
      </c>
      <c r="Z19" s="12">
        <v>46162</v>
      </c>
      <c r="AA19" s="13">
        <v>9.1376267959770163E-2</v>
      </c>
      <c r="AB19" s="13" t="s">
        <v>204</v>
      </c>
      <c r="AC19" s="14" t="s">
        <v>245</v>
      </c>
      <c r="AD19" s="15" t="s">
        <v>97</v>
      </c>
    </row>
    <row r="20" spans="1:30" x14ac:dyDescent="0.25">
      <c r="A20" s="5">
        <v>19</v>
      </c>
      <c r="B20" s="6" t="s">
        <v>257</v>
      </c>
      <c r="C20" s="7" t="s">
        <v>257</v>
      </c>
      <c r="D20" s="7" t="s">
        <v>258</v>
      </c>
      <c r="E20" s="7" t="s">
        <v>32</v>
      </c>
      <c r="F20" s="7" t="s">
        <v>86</v>
      </c>
      <c r="G20" s="8">
        <v>218.28</v>
      </c>
      <c r="H20" s="8">
        <v>109.14</v>
      </c>
      <c r="I20" s="8">
        <v>0</v>
      </c>
      <c r="J20" s="8">
        <v>109.14</v>
      </c>
      <c r="K20" s="8">
        <v>0</v>
      </c>
      <c r="L20" s="9">
        <v>109.14</v>
      </c>
      <c r="M20" s="8">
        <v>0</v>
      </c>
      <c r="N20" s="8">
        <v>0</v>
      </c>
      <c r="O20" s="17" t="s">
        <v>259</v>
      </c>
      <c r="P20" s="10">
        <v>0.5</v>
      </c>
      <c r="Q20" s="11" t="s">
        <v>134</v>
      </c>
      <c r="R20" s="11" t="s">
        <v>260</v>
      </c>
      <c r="S20" s="11" t="s">
        <v>90</v>
      </c>
      <c r="T20" s="11" t="s">
        <v>134</v>
      </c>
      <c r="U20" s="11" t="s">
        <v>261</v>
      </c>
      <c r="V20" s="11" t="s">
        <v>262</v>
      </c>
      <c r="W20" s="11" t="s">
        <v>263</v>
      </c>
      <c r="X20" s="11">
        <v>0</v>
      </c>
      <c r="Y20" s="11">
        <v>0</v>
      </c>
      <c r="Z20" s="12">
        <v>46156</v>
      </c>
      <c r="AA20" s="13">
        <v>0.33175610958402046</v>
      </c>
      <c r="AB20" s="13" t="s">
        <v>204</v>
      </c>
      <c r="AC20" s="14" t="s">
        <v>257</v>
      </c>
      <c r="AD20" s="15" t="s">
        <v>264</v>
      </c>
    </row>
    <row r="21" spans="1:30" x14ac:dyDescent="0.25">
      <c r="A21" s="5">
        <v>20</v>
      </c>
      <c r="B21" s="6" t="s">
        <v>265</v>
      </c>
      <c r="C21" s="7" t="s">
        <v>266</v>
      </c>
      <c r="D21" s="7" t="s">
        <v>267</v>
      </c>
      <c r="E21" s="7" t="s">
        <v>32</v>
      </c>
      <c r="F21" s="7" t="s">
        <v>33</v>
      </c>
      <c r="G21" s="8">
        <v>509.88</v>
      </c>
      <c r="H21" s="8">
        <v>78.462980000000002</v>
      </c>
      <c r="I21" s="8">
        <v>65</v>
      </c>
      <c r="J21" s="8">
        <v>143.46298000000002</v>
      </c>
      <c r="K21" s="8">
        <v>35</v>
      </c>
      <c r="L21" s="9">
        <v>431.41701999999998</v>
      </c>
      <c r="M21" s="8">
        <v>48.854480000000002</v>
      </c>
      <c r="N21" s="8">
        <v>48.854480000000002</v>
      </c>
      <c r="O21" s="8" t="s">
        <v>268</v>
      </c>
      <c r="P21" s="10">
        <v>0.15388518867184436</v>
      </c>
      <c r="Q21" s="11" t="s">
        <v>35</v>
      </c>
      <c r="R21" s="11" t="s">
        <v>269</v>
      </c>
      <c r="S21" s="11" t="s">
        <v>270</v>
      </c>
      <c r="T21" s="11" t="s">
        <v>271</v>
      </c>
      <c r="U21" s="11" t="s">
        <v>272</v>
      </c>
      <c r="V21" s="11" t="s">
        <v>273</v>
      </c>
      <c r="W21" s="11" t="s">
        <v>274</v>
      </c>
      <c r="X21" s="11" t="s">
        <v>275</v>
      </c>
      <c r="Y21" s="11">
        <v>0</v>
      </c>
      <c r="Z21" s="12">
        <v>46156</v>
      </c>
      <c r="AA21" s="13">
        <v>0.26948085534049881</v>
      </c>
      <c r="AB21" s="13" t="s">
        <v>204</v>
      </c>
      <c r="AC21" s="14" t="s">
        <v>266</v>
      </c>
      <c r="AD21" s="15" t="s">
        <v>276</v>
      </c>
    </row>
    <row r="22" spans="1:30" x14ac:dyDescent="0.25">
      <c r="A22" s="5">
        <v>21</v>
      </c>
      <c r="B22" s="6" t="s">
        <v>277</v>
      </c>
      <c r="C22" s="7" t="s">
        <v>278</v>
      </c>
      <c r="D22" s="7" t="s">
        <v>279</v>
      </c>
      <c r="E22" s="7" t="s">
        <v>72</v>
      </c>
      <c r="F22" s="7"/>
      <c r="G22" s="8">
        <v>0</v>
      </c>
      <c r="H22" s="8">
        <v>0</v>
      </c>
      <c r="I22" s="8">
        <v>0</v>
      </c>
      <c r="J22" s="8">
        <v>0</v>
      </c>
      <c r="K22" s="8">
        <v>0</v>
      </c>
      <c r="L22" s="9">
        <v>0</v>
      </c>
      <c r="M22" s="8">
        <v>0</v>
      </c>
      <c r="N22" s="8">
        <v>0</v>
      </c>
      <c r="O22" s="8" t="s">
        <v>280</v>
      </c>
      <c r="P22" s="10">
        <v>0</v>
      </c>
      <c r="Q22" s="11">
        <v>0</v>
      </c>
      <c r="R22" s="11" t="s">
        <v>281</v>
      </c>
      <c r="S22" s="11" t="s">
        <v>134</v>
      </c>
      <c r="T22" s="11" t="s">
        <v>282</v>
      </c>
      <c r="U22" s="11" t="s">
        <v>283</v>
      </c>
      <c r="V22" s="11" t="s">
        <v>284</v>
      </c>
      <c r="W22" s="11" t="s">
        <v>285</v>
      </c>
      <c r="X22" s="11" t="s">
        <v>134</v>
      </c>
      <c r="Y22" s="11" t="s">
        <v>286</v>
      </c>
      <c r="Z22" s="12">
        <v>45925</v>
      </c>
      <c r="AA22" s="13" t="s">
        <v>204</v>
      </c>
      <c r="AB22" s="13" t="s">
        <v>204</v>
      </c>
      <c r="AC22" s="14" t="s">
        <v>278</v>
      </c>
      <c r="AD22" s="15" t="s">
        <v>287</v>
      </c>
    </row>
    <row r="23" spans="1:30" x14ac:dyDescent="0.25">
      <c r="A23" s="5">
        <v>22</v>
      </c>
      <c r="B23" s="6" t="s">
        <v>288</v>
      </c>
      <c r="C23" s="7" t="s">
        <v>289</v>
      </c>
      <c r="D23" s="7" t="s">
        <v>290</v>
      </c>
      <c r="E23" s="7" t="s">
        <v>150</v>
      </c>
      <c r="F23" s="7" t="s">
        <v>151</v>
      </c>
      <c r="G23" s="8">
        <v>6660.9289406779662</v>
      </c>
      <c r="H23" s="8">
        <v>6497.8216138999996</v>
      </c>
      <c r="I23" s="8">
        <v>0</v>
      </c>
      <c r="J23" s="8">
        <v>6497.8216138999996</v>
      </c>
      <c r="K23" s="8">
        <v>0</v>
      </c>
      <c r="L23" s="9">
        <v>163.10732677796659</v>
      </c>
      <c r="M23" s="8">
        <v>96.250439999999998</v>
      </c>
      <c r="N23" s="8">
        <v>0</v>
      </c>
      <c r="O23" s="8" t="s">
        <v>291</v>
      </c>
      <c r="P23" s="10">
        <v>0.97551282587900345</v>
      </c>
      <c r="Q23" s="11" t="s">
        <v>74</v>
      </c>
      <c r="R23" s="11" t="s">
        <v>292</v>
      </c>
      <c r="S23" s="11" t="s">
        <v>90</v>
      </c>
      <c r="T23" s="11" t="s">
        <v>293</v>
      </c>
      <c r="U23" s="11" t="s">
        <v>294</v>
      </c>
      <c r="V23" s="11" t="s">
        <v>295</v>
      </c>
      <c r="W23" s="11" t="s">
        <v>296</v>
      </c>
      <c r="X23" s="11" t="s">
        <v>297</v>
      </c>
      <c r="Y23" s="11" t="s">
        <v>298</v>
      </c>
      <c r="Z23" s="12">
        <v>46157</v>
      </c>
      <c r="AA23" s="13">
        <v>0.34517873346065742</v>
      </c>
      <c r="AB23" s="13">
        <v>4.7055080021901952E-2</v>
      </c>
      <c r="AC23" s="14" t="e">
        <v>#N/A</v>
      </c>
      <c r="AD23" s="15" t="s">
        <v>299</v>
      </c>
    </row>
    <row r="24" spans="1:30" x14ac:dyDescent="0.25">
      <c r="A24" s="5">
        <v>23</v>
      </c>
      <c r="B24" s="6" t="s">
        <v>300</v>
      </c>
      <c r="C24" s="7" t="s">
        <v>301</v>
      </c>
      <c r="D24" s="7" t="s">
        <v>301</v>
      </c>
      <c r="E24" s="7" t="s">
        <v>208</v>
      </c>
      <c r="F24" s="7" t="s">
        <v>125</v>
      </c>
      <c r="G24" s="8">
        <v>360.9787</v>
      </c>
      <c r="H24" s="8">
        <v>162.440415</v>
      </c>
      <c r="I24" s="8">
        <v>0</v>
      </c>
      <c r="J24" s="8">
        <v>162.440415</v>
      </c>
      <c r="K24" s="8">
        <v>0</v>
      </c>
      <c r="L24" s="9">
        <v>198.538285</v>
      </c>
      <c r="M24" s="8">
        <v>0</v>
      </c>
      <c r="N24" s="8">
        <v>0</v>
      </c>
      <c r="O24" s="8" t="s">
        <v>302</v>
      </c>
      <c r="P24" s="10">
        <v>0.45</v>
      </c>
      <c r="Q24" s="11" t="s">
        <v>74</v>
      </c>
      <c r="R24" s="11" t="s">
        <v>303</v>
      </c>
      <c r="S24" s="11" t="s">
        <v>304</v>
      </c>
      <c r="T24" s="11" t="s">
        <v>305</v>
      </c>
      <c r="U24" s="16" t="s">
        <v>306</v>
      </c>
      <c r="V24" s="11" t="s">
        <v>307</v>
      </c>
      <c r="W24" s="11" t="s">
        <v>308</v>
      </c>
      <c r="X24" s="11" t="s">
        <v>297</v>
      </c>
      <c r="Y24" s="11" t="s">
        <v>309</v>
      </c>
      <c r="Z24" s="12">
        <v>46149</v>
      </c>
      <c r="AA24" s="13">
        <v>1.9433124213630304E-2</v>
      </c>
      <c r="AB24" s="13">
        <v>0.42701644292272078</v>
      </c>
      <c r="AC24" s="14" t="e">
        <v>#N/A</v>
      </c>
      <c r="AD24" s="15" t="s">
        <v>217</v>
      </c>
    </row>
    <row r="25" spans="1:30" x14ac:dyDescent="0.25">
      <c r="A25" s="5">
        <v>24</v>
      </c>
      <c r="B25" s="6" t="s">
        <v>310</v>
      </c>
      <c r="C25" s="7" t="s">
        <v>311</v>
      </c>
      <c r="D25" s="7" t="s">
        <v>311</v>
      </c>
      <c r="E25" s="7" t="s">
        <v>208</v>
      </c>
      <c r="F25" s="7" t="s">
        <v>125</v>
      </c>
      <c r="G25" s="8">
        <v>352.65960000000001</v>
      </c>
      <c r="H25" s="8">
        <v>193.96278000000001</v>
      </c>
      <c r="I25" s="8">
        <v>0</v>
      </c>
      <c r="J25" s="8">
        <v>193.96278000000001</v>
      </c>
      <c r="K25" s="8">
        <v>0</v>
      </c>
      <c r="L25" s="9">
        <v>158.69682</v>
      </c>
      <c r="M25" s="8">
        <v>0</v>
      </c>
      <c r="N25" s="8">
        <v>0</v>
      </c>
      <c r="O25" s="8" t="s">
        <v>302</v>
      </c>
      <c r="P25" s="10">
        <v>0.55000000000000004</v>
      </c>
      <c r="Q25" s="11" t="s">
        <v>74</v>
      </c>
      <c r="R25" s="11" t="s">
        <v>312</v>
      </c>
      <c r="S25" s="11" t="s">
        <v>185</v>
      </c>
      <c r="T25" s="11" t="s">
        <v>313</v>
      </c>
      <c r="U25" s="16" t="s">
        <v>314</v>
      </c>
      <c r="V25" s="11" t="s">
        <v>315</v>
      </c>
      <c r="W25" s="11" t="s">
        <v>316</v>
      </c>
      <c r="X25" s="11" t="s">
        <v>297</v>
      </c>
      <c r="Y25" s="11" t="s">
        <v>317</v>
      </c>
      <c r="Z25" s="12">
        <v>46149</v>
      </c>
      <c r="AA25" s="13">
        <v>0.47825792208690765</v>
      </c>
      <c r="AB25" s="13">
        <v>0.67739458815242792</v>
      </c>
      <c r="AC25" s="14" t="e">
        <v>#N/A</v>
      </c>
      <c r="AD25" s="15" t="s">
        <v>217</v>
      </c>
    </row>
    <row r="26" spans="1:30" x14ac:dyDescent="0.25">
      <c r="A26" s="5">
        <v>25</v>
      </c>
      <c r="B26" s="6" t="s">
        <v>318</v>
      </c>
      <c r="C26" s="7" t="s">
        <v>319</v>
      </c>
      <c r="D26" s="7" t="s">
        <v>320</v>
      </c>
      <c r="E26" s="7" t="s">
        <v>208</v>
      </c>
      <c r="F26" s="7" t="s">
        <v>233</v>
      </c>
      <c r="G26" s="8">
        <v>1275.816245</v>
      </c>
      <c r="H26" s="8">
        <v>1087.4796217000005</v>
      </c>
      <c r="I26" s="8">
        <v>0</v>
      </c>
      <c r="J26" s="8">
        <v>1087.4796217000005</v>
      </c>
      <c r="K26" s="8">
        <v>0</v>
      </c>
      <c r="L26" s="9">
        <v>188.33662329999947</v>
      </c>
      <c r="M26" s="8">
        <v>0</v>
      </c>
      <c r="N26" s="8">
        <v>0</v>
      </c>
      <c r="O26" s="8" t="s">
        <v>302</v>
      </c>
      <c r="P26" s="10">
        <v>0.85237950681526287</v>
      </c>
      <c r="Q26" s="11" t="s">
        <v>297</v>
      </c>
      <c r="R26" s="11" t="s">
        <v>321</v>
      </c>
      <c r="S26" s="11" t="s">
        <v>212</v>
      </c>
      <c r="T26" s="11" t="s">
        <v>322</v>
      </c>
      <c r="U26" s="16" t="s">
        <v>323</v>
      </c>
      <c r="V26" s="11" t="s">
        <v>324</v>
      </c>
      <c r="W26" s="11" t="s">
        <v>325</v>
      </c>
      <c r="X26" s="11" t="s">
        <v>297</v>
      </c>
      <c r="Y26" s="11" t="s">
        <v>326</v>
      </c>
      <c r="Z26" s="12">
        <v>46149</v>
      </c>
      <c r="AA26" s="13">
        <v>0.70726820396801893</v>
      </c>
      <c r="AB26" s="13">
        <v>0.51174435922491024</v>
      </c>
      <c r="AC26" s="14" t="e">
        <v>#N/A</v>
      </c>
      <c r="AD26" s="15" t="s">
        <v>217</v>
      </c>
    </row>
    <row r="27" spans="1:30" x14ac:dyDescent="0.25">
      <c r="A27" s="5">
        <v>26</v>
      </c>
      <c r="B27" s="6" t="s">
        <v>327</v>
      </c>
      <c r="C27" s="7" t="s">
        <v>328</v>
      </c>
      <c r="D27" s="7" t="s">
        <v>328</v>
      </c>
      <c r="E27" s="7" t="s">
        <v>72</v>
      </c>
      <c r="F27" s="7" t="s">
        <v>125</v>
      </c>
      <c r="G27" s="8">
        <v>0</v>
      </c>
      <c r="H27" s="8">
        <v>0</v>
      </c>
      <c r="I27" s="8">
        <v>0</v>
      </c>
      <c r="J27" s="8">
        <v>0</v>
      </c>
      <c r="K27" s="8">
        <v>0</v>
      </c>
      <c r="L27" s="9">
        <v>0</v>
      </c>
      <c r="M27" s="8">
        <v>0</v>
      </c>
      <c r="N27" s="8">
        <v>0</v>
      </c>
      <c r="O27" s="8" t="s">
        <v>297</v>
      </c>
      <c r="P27" s="10">
        <v>0</v>
      </c>
      <c r="Q27" s="11" t="s">
        <v>297</v>
      </c>
      <c r="R27" s="11" t="s">
        <v>297</v>
      </c>
      <c r="S27" s="11" t="s">
        <v>212</v>
      </c>
      <c r="T27" s="11" t="s">
        <v>297</v>
      </c>
      <c r="U27" s="11" t="s">
        <v>297</v>
      </c>
      <c r="V27" s="11" t="s">
        <v>329</v>
      </c>
      <c r="W27" s="11" t="s">
        <v>330</v>
      </c>
      <c r="X27" s="11" t="s">
        <v>297</v>
      </c>
      <c r="Y27" s="11" t="s">
        <v>331</v>
      </c>
      <c r="Z27" s="12">
        <v>45982</v>
      </c>
      <c r="AA27" s="13" t="s">
        <v>204</v>
      </c>
      <c r="AB27" s="13" t="s">
        <v>204</v>
      </c>
      <c r="AC27" s="14" t="e">
        <v>#N/A</v>
      </c>
      <c r="AD27" s="15" t="s">
        <v>332</v>
      </c>
    </row>
    <row r="28" spans="1:30" x14ac:dyDescent="0.25">
      <c r="A28" s="5">
        <v>27</v>
      </c>
      <c r="B28" s="6" t="s">
        <v>333</v>
      </c>
      <c r="C28" s="7" t="s">
        <v>334</v>
      </c>
      <c r="D28" s="7" t="s">
        <v>334</v>
      </c>
      <c r="E28" s="7" t="s">
        <v>72</v>
      </c>
      <c r="F28" s="7" t="s">
        <v>125</v>
      </c>
      <c r="G28" s="8">
        <v>108.12905000000001</v>
      </c>
      <c r="H28" s="8">
        <v>10.812905000000001</v>
      </c>
      <c r="I28" s="8">
        <v>0</v>
      </c>
      <c r="J28" s="8">
        <v>10.812905000000001</v>
      </c>
      <c r="K28" s="8">
        <v>0</v>
      </c>
      <c r="L28" s="9">
        <v>97.316145000000006</v>
      </c>
      <c r="M28" s="8">
        <v>0</v>
      </c>
      <c r="N28" s="8">
        <v>0</v>
      </c>
      <c r="O28" s="8" t="s">
        <v>297</v>
      </c>
      <c r="P28" s="10">
        <v>0.1</v>
      </c>
      <c r="Q28" s="11" t="s">
        <v>297</v>
      </c>
      <c r="R28" s="11" t="s">
        <v>297</v>
      </c>
      <c r="S28" s="11" t="s">
        <v>237</v>
      </c>
      <c r="T28" s="11" t="s">
        <v>297</v>
      </c>
      <c r="U28" s="16" t="s">
        <v>335</v>
      </c>
      <c r="V28" s="11" t="s">
        <v>336</v>
      </c>
      <c r="W28" s="11" t="s">
        <v>134</v>
      </c>
      <c r="X28" s="11" t="s">
        <v>297</v>
      </c>
      <c r="Y28" s="11" t="s">
        <v>337</v>
      </c>
      <c r="Z28" s="12">
        <v>46128</v>
      </c>
      <c r="AA28" s="13" t="s">
        <v>204</v>
      </c>
      <c r="AB28" s="13" t="s">
        <v>204</v>
      </c>
      <c r="AC28" s="14" t="e">
        <v>#N/A</v>
      </c>
      <c r="AD28" s="15" t="s">
        <v>338</v>
      </c>
    </row>
    <row r="29" spans="1:30" x14ac:dyDescent="0.25">
      <c r="A29" s="5">
        <v>28</v>
      </c>
      <c r="B29" s="6" t="s">
        <v>339</v>
      </c>
      <c r="C29" s="7" t="s">
        <v>340</v>
      </c>
      <c r="D29" s="7" t="s">
        <v>341</v>
      </c>
      <c r="E29" s="7" t="s">
        <v>72</v>
      </c>
      <c r="F29" s="7" t="s">
        <v>86</v>
      </c>
      <c r="G29" s="8">
        <v>1640</v>
      </c>
      <c r="H29" s="8">
        <v>82</v>
      </c>
      <c r="I29" s="8">
        <v>80</v>
      </c>
      <c r="J29" s="8">
        <v>162</v>
      </c>
      <c r="K29" s="8">
        <v>97</v>
      </c>
      <c r="L29" s="9">
        <v>1558</v>
      </c>
      <c r="M29" s="8">
        <v>0</v>
      </c>
      <c r="N29" s="8">
        <v>0</v>
      </c>
      <c r="O29" s="18" t="s">
        <v>342</v>
      </c>
      <c r="P29" s="10">
        <v>0.05</v>
      </c>
      <c r="Q29" s="11" t="s">
        <v>343</v>
      </c>
      <c r="R29" s="11" t="s">
        <v>344</v>
      </c>
      <c r="S29" s="11" t="s">
        <v>345</v>
      </c>
      <c r="T29" s="11" t="s">
        <v>346</v>
      </c>
      <c r="U29" s="16" t="s">
        <v>347</v>
      </c>
      <c r="V29" s="11" t="s">
        <v>348</v>
      </c>
      <c r="W29" s="11" t="s">
        <v>349</v>
      </c>
      <c r="X29" s="11" t="s">
        <v>350</v>
      </c>
      <c r="Y29" s="11" t="s">
        <v>351</v>
      </c>
      <c r="Z29" s="12">
        <v>46129</v>
      </c>
      <c r="AA29" s="13">
        <v>0.19904691358024695</v>
      </c>
      <c r="AB29" s="13" t="s">
        <v>204</v>
      </c>
      <c r="AC29" s="14" t="s">
        <v>340</v>
      </c>
      <c r="AD29" s="15" t="s">
        <v>352</v>
      </c>
    </row>
    <row r="30" spans="1:30" x14ac:dyDescent="0.25">
      <c r="A30" s="5">
        <v>29</v>
      </c>
      <c r="B30" s="7" t="s">
        <v>353</v>
      </c>
      <c r="C30" s="7" t="s">
        <v>354</v>
      </c>
      <c r="D30" s="7" t="s">
        <v>355</v>
      </c>
      <c r="E30" s="7" t="s">
        <v>32</v>
      </c>
      <c r="F30" s="7" t="s">
        <v>356</v>
      </c>
      <c r="G30" s="8">
        <v>809.07864406779663</v>
      </c>
      <c r="H30" s="8">
        <v>263.27664800000014</v>
      </c>
      <c r="I30" s="8">
        <v>5</v>
      </c>
      <c r="J30" s="8">
        <v>268.27664800000014</v>
      </c>
      <c r="K30" s="8">
        <v>10</v>
      </c>
      <c r="L30" s="9">
        <v>545.80199606779649</v>
      </c>
      <c r="M30" s="8">
        <v>9.7562712000000005</v>
      </c>
      <c r="N30" s="8">
        <v>4.8781356000000002</v>
      </c>
      <c r="O30" s="8" t="s">
        <v>101</v>
      </c>
      <c r="P30" s="10">
        <v>0.32540303705994111</v>
      </c>
      <c r="Q30" s="11" t="s">
        <v>35</v>
      </c>
      <c r="R30" s="11" t="s">
        <v>357</v>
      </c>
      <c r="S30" s="11" t="e">
        <v>#N/A</v>
      </c>
      <c r="T30" s="11" t="s">
        <v>358</v>
      </c>
      <c r="U30" s="16" t="s">
        <v>359</v>
      </c>
      <c r="V30" s="11" t="s">
        <v>434</v>
      </c>
      <c r="W30" s="11" t="s">
        <v>434</v>
      </c>
      <c r="X30" s="11" t="s">
        <v>297</v>
      </c>
      <c r="Y30" s="11" t="s">
        <v>434</v>
      </c>
      <c r="Z30" s="12">
        <v>0</v>
      </c>
      <c r="AA30" s="13">
        <v>0.16148581410687934</v>
      </c>
      <c r="AB30" s="13">
        <v>0.53564420356445086</v>
      </c>
      <c r="AC30" s="14" t="s">
        <v>354</v>
      </c>
      <c r="AD30" s="15" t="s">
        <v>360</v>
      </c>
    </row>
    <row r="31" spans="1:30" x14ac:dyDescent="0.25">
      <c r="A31" s="5">
        <v>30</v>
      </c>
      <c r="B31" s="7" t="s">
        <v>361</v>
      </c>
      <c r="C31" s="7" t="s">
        <v>362</v>
      </c>
      <c r="D31" s="7" t="s">
        <v>363</v>
      </c>
      <c r="E31" s="7" t="s">
        <v>72</v>
      </c>
      <c r="F31" s="7" t="s">
        <v>125</v>
      </c>
      <c r="G31" s="8">
        <v>643.5</v>
      </c>
      <c r="H31" s="8">
        <v>0</v>
      </c>
      <c r="I31" s="8">
        <v>400</v>
      </c>
      <c r="J31" s="8">
        <v>400</v>
      </c>
      <c r="K31" s="8">
        <v>0</v>
      </c>
      <c r="L31" s="9">
        <v>643.5</v>
      </c>
      <c r="M31" s="8">
        <v>0</v>
      </c>
      <c r="N31" s="8">
        <v>0</v>
      </c>
      <c r="O31" s="8" t="s">
        <v>364</v>
      </c>
      <c r="P31" s="10">
        <v>0</v>
      </c>
      <c r="Q31" s="16" t="s">
        <v>365</v>
      </c>
      <c r="R31" s="11" t="s">
        <v>366</v>
      </c>
      <c r="S31" s="11" t="s">
        <v>367</v>
      </c>
      <c r="T31" s="11" t="s">
        <v>368</v>
      </c>
      <c r="U31" s="16" t="s">
        <v>369</v>
      </c>
      <c r="V31" s="11" t="s">
        <v>370</v>
      </c>
      <c r="W31" s="11" t="s">
        <v>371</v>
      </c>
      <c r="X31" s="11" t="s">
        <v>297</v>
      </c>
      <c r="Y31" s="11" t="s">
        <v>372</v>
      </c>
      <c r="Z31" s="12">
        <v>46150</v>
      </c>
      <c r="AA31" s="13" t="s">
        <v>204</v>
      </c>
      <c r="AB31" s="13" t="s">
        <v>204</v>
      </c>
      <c r="AC31" s="14" t="s">
        <v>362</v>
      </c>
      <c r="AD31" s="15" t="s">
        <v>170</v>
      </c>
    </row>
    <row r="32" spans="1:30" x14ac:dyDescent="0.25">
      <c r="A32" s="5">
        <v>31</v>
      </c>
      <c r="B32" s="7" t="s">
        <v>373</v>
      </c>
      <c r="C32" s="7" t="s">
        <v>374</v>
      </c>
      <c r="D32" s="7" t="s">
        <v>375</v>
      </c>
      <c r="E32" s="7" t="s">
        <v>72</v>
      </c>
      <c r="F32" s="7" t="s">
        <v>125</v>
      </c>
      <c r="G32" s="8">
        <v>96.595439999999996</v>
      </c>
      <c r="H32" s="8">
        <v>0</v>
      </c>
      <c r="I32" s="8">
        <v>0</v>
      </c>
      <c r="J32" s="8">
        <v>0</v>
      </c>
      <c r="K32" s="8">
        <v>0</v>
      </c>
      <c r="L32" s="9">
        <v>96.595439999999996</v>
      </c>
      <c r="M32" s="8">
        <v>0</v>
      </c>
      <c r="N32" s="8">
        <v>0</v>
      </c>
      <c r="O32" s="8" t="s">
        <v>376</v>
      </c>
      <c r="P32" s="10">
        <v>0</v>
      </c>
      <c r="Q32" s="11" t="s">
        <v>297</v>
      </c>
      <c r="R32" s="11" t="s">
        <v>377</v>
      </c>
      <c r="S32" s="11" t="s">
        <v>212</v>
      </c>
      <c r="T32" s="11" t="s">
        <v>297</v>
      </c>
      <c r="U32" s="16" t="s">
        <v>378</v>
      </c>
      <c r="V32" s="11" t="s">
        <v>379</v>
      </c>
      <c r="W32" s="11" t="s">
        <v>380</v>
      </c>
      <c r="X32" s="11" t="s">
        <v>297</v>
      </c>
      <c r="Y32" s="11" t="s">
        <v>381</v>
      </c>
      <c r="Z32" s="12">
        <v>46128</v>
      </c>
      <c r="AA32" s="13" t="s">
        <v>204</v>
      </c>
      <c r="AB32" s="13" t="s">
        <v>204</v>
      </c>
      <c r="AC32" s="14" t="s">
        <v>374</v>
      </c>
      <c r="AD32" s="15" t="s">
        <v>287</v>
      </c>
    </row>
    <row r="33" spans="1:30" x14ac:dyDescent="0.25">
      <c r="A33" s="5">
        <v>32</v>
      </c>
      <c r="B33" s="7" t="s">
        <v>382</v>
      </c>
      <c r="C33" s="7" t="s">
        <v>383</v>
      </c>
      <c r="D33" s="7" t="s">
        <v>384</v>
      </c>
      <c r="E33" s="7" t="s">
        <v>32</v>
      </c>
      <c r="F33" s="7" t="s">
        <v>233</v>
      </c>
      <c r="G33" s="8">
        <v>35.1</v>
      </c>
      <c r="H33" s="8">
        <v>0</v>
      </c>
      <c r="I33" s="8">
        <v>0</v>
      </c>
      <c r="J33" s="8">
        <v>0</v>
      </c>
      <c r="K33" s="8">
        <v>0</v>
      </c>
      <c r="L33" s="9">
        <v>35.1</v>
      </c>
      <c r="M33" s="8">
        <v>0</v>
      </c>
      <c r="N33" s="8">
        <v>0</v>
      </c>
      <c r="O33" s="8" t="s">
        <v>385</v>
      </c>
      <c r="P33" s="10">
        <v>0</v>
      </c>
      <c r="Q33" s="11" t="s">
        <v>162</v>
      </c>
      <c r="R33" s="11" t="s">
        <v>386</v>
      </c>
      <c r="S33" s="11" t="s">
        <v>237</v>
      </c>
      <c r="T33" s="11" t="s">
        <v>297</v>
      </c>
      <c r="U33" s="16" t="s">
        <v>387</v>
      </c>
      <c r="V33" s="11" t="s">
        <v>388</v>
      </c>
      <c r="W33" s="11" t="s">
        <v>389</v>
      </c>
      <c r="X33" s="11" t="s">
        <v>297</v>
      </c>
      <c r="Y33" s="11" t="s">
        <v>390</v>
      </c>
      <c r="Z33" s="12">
        <v>46142</v>
      </c>
      <c r="AA33" s="13" t="s">
        <v>204</v>
      </c>
      <c r="AB33" s="13" t="s">
        <v>204</v>
      </c>
      <c r="AC33" s="14" t="s">
        <v>383</v>
      </c>
      <c r="AD33" s="15" t="s">
        <v>243</v>
      </c>
    </row>
    <row r="34" spans="1:30" x14ac:dyDescent="0.25">
      <c r="A34" s="5">
        <v>33</v>
      </c>
      <c r="B34" s="7" t="s">
        <v>391</v>
      </c>
      <c r="C34" s="7" t="s">
        <v>392</v>
      </c>
      <c r="D34" s="7" t="s">
        <v>391</v>
      </c>
      <c r="E34" s="7" t="s">
        <v>72</v>
      </c>
      <c r="F34" s="7" t="s">
        <v>125</v>
      </c>
      <c r="G34" s="8">
        <v>417.49581000000001</v>
      </c>
      <c r="H34" s="8">
        <v>90.889420600000008</v>
      </c>
      <c r="I34" s="8">
        <v>70</v>
      </c>
      <c r="J34" s="8">
        <v>160.88942059999999</v>
      </c>
      <c r="K34" s="8">
        <v>107</v>
      </c>
      <c r="L34" s="9">
        <v>326.60638940000001</v>
      </c>
      <c r="M34" s="8">
        <v>0</v>
      </c>
      <c r="N34" s="8">
        <v>0</v>
      </c>
      <c r="O34" s="8" t="s">
        <v>393</v>
      </c>
      <c r="P34" s="10">
        <v>0.21770139585352966</v>
      </c>
      <c r="Q34" s="16" t="s">
        <v>394</v>
      </c>
      <c r="R34" s="11" t="s">
        <v>395</v>
      </c>
      <c r="S34" s="11" t="s">
        <v>396</v>
      </c>
      <c r="T34" s="11" t="s">
        <v>397</v>
      </c>
      <c r="U34" s="16" t="s">
        <v>398</v>
      </c>
      <c r="V34" s="11" t="s">
        <v>399</v>
      </c>
      <c r="W34" s="11" t="s">
        <v>400</v>
      </c>
      <c r="X34" s="11" t="s">
        <v>297</v>
      </c>
      <c r="Y34" s="11" t="s">
        <v>401</v>
      </c>
      <c r="Z34" s="12">
        <v>46150</v>
      </c>
      <c r="AA34" s="13">
        <v>0.38089999992804446</v>
      </c>
      <c r="AB34" s="13" t="s">
        <v>204</v>
      </c>
      <c r="AC34" s="14" t="s">
        <v>392</v>
      </c>
      <c r="AD34" s="15" t="s">
        <v>402</v>
      </c>
    </row>
    <row r="35" spans="1:30" x14ac:dyDescent="0.25">
      <c r="A35" s="5">
        <v>34</v>
      </c>
      <c r="B35" s="7" t="s">
        <v>403</v>
      </c>
      <c r="C35" s="7" t="s">
        <v>404</v>
      </c>
      <c r="D35" s="7" t="s">
        <v>405</v>
      </c>
      <c r="E35" s="7" t="s">
        <v>32</v>
      </c>
      <c r="F35" s="7" t="s">
        <v>33</v>
      </c>
      <c r="G35" s="8">
        <v>979.02</v>
      </c>
      <c r="H35" s="8">
        <v>0</v>
      </c>
      <c r="I35" s="8">
        <v>20</v>
      </c>
      <c r="J35" s="8">
        <v>20</v>
      </c>
      <c r="K35" s="8">
        <v>0</v>
      </c>
      <c r="L35" s="9">
        <v>979.02</v>
      </c>
      <c r="M35" s="8">
        <v>0</v>
      </c>
      <c r="N35" s="8">
        <v>0</v>
      </c>
      <c r="O35" s="8" t="s">
        <v>268</v>
      </c>
      <c r="P35" s="10">
        <v>0</v>
      </c>
      <c r="Q35" s="11" t="s">
        <v>35</v>
      </c>
      <c r="R35" s="11" t="s">
        <v>406</v>
      </c>
      <c r="S35" s="11" t="s">
        <v>407</v>
      </c>
      <c r="T35" s="11" t="s">
        <v>408</v>
      </c>
      <c r="U35" s="11" t="s">
        <v>409</v>
      </c>
      <c r="V35" s="11" t="s">
        <v>410</v>
      </c>
      <c r="W35" s="11" t="s">
        <v>411</v>
      </c>
      <c r="X35" s="11" t="s">
        <v>412</v>
      </c>
      <c r="Y35" s="11" t="s">
        <v>413</v>
      </c>
      <c r="Z35" s="12">
        <v>46156</v>
      </c>
      <c r="AA35" s="13" t="s">
        <v>204</v>
      </c>
      <c r="AB35" s="13" t="s">
        <v>204</v>
      </c>
      <c r="AC35" s="14" t="s">
        <v>404</v>
      </c>
      <c r="AD35" s="15" t="s">
        <v>414</v>
      </c>
    </row>
    <row r="36" spans="1:30" x14ac:dyDescent="0.25">
      <c r="A36" s="5">
        <v>35</v>
      </c>
      <c r="B36" s="7" t="s">
        <v>415</v>
      </c>
      <c r="C36" s="7" t="s">
        <v>416</v>
      </c>
      <c r="D36" s="7" t="s">
        <v>417</v>
      </c>
      <c r="E36" s="7" t="s">
        <v>32</v>
      </c>
      <c r="F36" s="7" t="s">
        <v>86</v>
      </c>
      <c r="G36" s="8">
        <v>662.95943999999997</v>
      </c>
      <c r="H36" s="8">
        <v>0</v>
      </c>
      <c r="I36" s="8">
        <v>0</v>
      </c>
      <c r="J36" s="8">
        <v>0</v>
      </c>
      <c r="K36" s="8">
        <v>0</v>
      </c>
      <c r="L36" s="9">
        <v>662.95943999999997</v>
      </c>
      <c r="M36" s="8">
        <v>0</v>
      </c>
      <c r="N36" s="8">
        <v>0</v>
      </c>
      <c r="O36" s="8" t="s">
        <v>59</v>
      </c>
      <c r="P36" s="10">
        <v>0</v>
      </c>
      <c r="Q36" s="11" t="s">
        <v>35</v>
      </c>
      <c r="R36" s="11" t="s">
        <v>418</v>
      </c>
      <c r="S36" s="11" t="s">
        <v>419</v>
      </c>
      <c r="T36" s="11" t="s">
        <v>420</v>
      </c>
      <c r="U36" s="16" t="s">
        <v>421</v>
      </c>
      <c r="V36" s="11" t="s">
        <v>422</v>
      </c>
      <c r="W36" s="11" t="s">
        <v>423</v>
      </c>
      <c r="X36" s="11" t="s">
        <v>297</v>
      </c>
      <c r="Y36" s="11" t="s">
        <v>424</v>
      </c>
      <c r="Z36" s="12">
        <v>46162</v>
      </c>
      <c r="AA36" s="13" t="s">
        <v>204</v>
      </c>
      <c r="AB36" s="13" t="s">
        <v>204</v>
      </c>
      <c r="AC36" s="14" t="s">
        <v>416</v>
      </c>
      <c r="AD36" s="15" t="s">
        <v>425</v>
      </c>
    </row>
    <row r="37" spans="1:30" x14ac:dyDescent="0.25">
      <c r="A37" s="19">
        <v>36</v>
      </c>
      <c r="B37" s="20" t="s">
        <v>426</v>
      </c>
      <c r="C37" s="20" t="s">
        <v>427</v>
      </c>
      <c r="D37" s="20" t="s">
        <v>428</v>
      </c>
      <c r="E37" s="20" t="s">
        <v>32</v>
      </c>
      <c r="F37" s="20" t="s">
        <v>86</v>
      </c>
      <c r="G37" s="21">
        <v>1395.1654764000002</v>
      </c>
      <c r="H37" s="21">
        <v>0</v>
      </c>
      <c r="I37" s="21">
        <v>0</v>
      </c>
      <c r="J37" s="21">
        <v>0</v>
      </c>
      <c r="K37" s="21">
        <v>0</v>
      </c>
      <c r="L37" s="22">
        <v>1395.1654764000002</v>
      </c>
      <c r="M37" s="21">
        <v>0</v>
      </c>
      <c r="N37" s="21">
        <v>0</v>
      </c>
      <c r="O37" s="21" t="s">
        <v>101</v>
      </c>
      <c r="P37" s="23">
        <v>0</v>
      </c>
      <c r="Q37" s="24" t="s">
        <v>35</v>
      </c>
      <c r="R37" s="24" t="s">
        <v>429</v>
      </c>
      <c r="S37" s="24" t="e">
        <v>#N/A</v>
      </c>
      <c r="T37" s="24" t="s">
        <v>430</v>
      </c>
      <c r="U37" s="25" t="s">
        <v>431</v>
      </c>
      <c r="V37" s="24" t="s">
        <v>434</v>
      </c>
      <c r="W37" s="24" t="s">
        <v>434</v>
      </c>
      <c r="X37" s="24" t="s">
        <v>297</v>
      </c>
      <c r="Y37" s="24" t="s">
        <v>434</v>
      </c>
      <c r="Z37" s="26">
        <v>0</v>
      </c>
      <c r="AA37" s="27" t="s">
        <v>204</v>
      </c>
      <c r="AB37" s="27" t="s">
        <v>204</v>
      </c>
      <c r="AC37" s="28" t="s">
        <v>427</v>
      </c>
      <c r="AD37" s="29" t="s">
        <v>432</v>
      </c>
    </row>
  </sheetData>
  <conditionalFormatting sqref="T2:Y37 P2:R37">
    <cfRule type="dataBar" priority="1">
      <dataBar>
        <cfvo type="num" val="0"/>
        <cfvo type="num" val="1"/>
        <color rgb="FF008AEF"/>
      </dataBar>
      <extLst>
        <ext xmlns:x14="http://schemas.microsoft.com/office/spreadsheetml/2009/9/main" uri="{B025F937-C7B1-47D3-B67F-A62EFF666E3E}">
          <x14:id>{BDF4FCBE-0ED6-40CD-A592-5E1014B90D60}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DF4FCBE-0ED6-40CD-A592-5E1014B90D60}">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T2:Y37 P2:R37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2026-05-21T08:38:15Z</dcterms:created>
  <dcterms:modified xsi:type="dcterms:W3CDTF">2026-05-21T08:38:18Z</dcterms:modified>
</cp:coreProperties>
</file>