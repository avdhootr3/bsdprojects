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13DE9FAF-A730-4DD1-B6E8-10055849FFC5}" xr6:coauthVersionLast="47" xr6:coauthVersionMax="47" xr10:uidLastSave="{00000000-0000-0000-0000-000000000000}"/>
  <bookViews>
    <workbookView xWindow="-120" yWindow="-120" windowWidth="20730" windowHeight="11040" xr2:uid="{637A9634-7B86-4329-BD8B-2955B2F0061E}"/>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<sst xmlns="http://schemas.openxmlformats.org/spreadsheetml/2006/main" count="601" uniqueCount="402">
  <si>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</si>
  <si>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</si>
  <si>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</si>
  <si>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</si>
  <si>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</si>
  <si>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</si>
  <si>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</si>
  <si>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</si>
  <si>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</si>
  <si>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</si>
  <si>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</si>
  <si>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</si>
  <si>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</si>
  <si>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</si>
  <si>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</si>
  <si>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</si>
  <si>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</si>
  <si>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</si>
  <si>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</si>
  <si>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</si>
  <si>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</si>
  <si>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</si>
  <si>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</si>
  <si>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</si>
  <si>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</si>
  <si>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</si>
  <si>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</si>
  <si>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</si>
  <si>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</si>
  <si>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</si>
  <si>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</si>
  <si>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</si>
  <si>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</si>
  <si>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</si>
  <si>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</si>
  <si>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</si>
  <si>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</si>
  <si>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</si>
  <si>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</si>
  <si>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</si>
  <si>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 xml:space="preserve">S.no  Bucket name     No. of Tasks
  1.      No Status    =   15
  2.      Estimation   =   10
  3.     Designing    =    10
  4.     To Do        =    20
  5.     In Progress  =    08
  6.     Under QA Testing = 04
  7.     User Acceptance Testing (UAT) = 23
  8.     Released on Production = 318
  9.     Closed       = 132
  </t>
  </si>
  <si>
    <t>3 tasks</t>
  </si>
  <si>
    <t>HTML,CSS,React,java, spring boot,Elastic,mysql AWS,Postman,Jenkins,CI/CD,Kibana,GIT,Docker</t>
  </si>
  <si>
    <t>1) 5 Months payment pending.
2)Bill submitted upto JAN.</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</si>
  <si>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</si>
  <si>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</si>
  <si>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</si>
  <si>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</si>
  <si>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</si>
  <si>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</si>
  <si>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</si>
  <si>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</si>
  <si>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25 resources on-boarded. (16 resources from GAIA – 09 from CMS)
2. Payment received till Dec’25, expecting payment for Jan’25 in this week.
3. Prayash Data Pushed for Jan’26
4. New SBM Dashboard ver2.0 (SWM, Legacy waste &amp; Toilets): state coordinators to verify data of their states.
5. DRAP Action plan (Micro)- deployed at staging/production. Changes ongoing.
6. GFC Indicator logic implemented in DB and changes ongoing in UI side.
7. Website updates ongoing: Trash Tales, Banner Updated.
8. DRAP Dashboard recreated &amp; deployed on staging.
9. Landfill Dashboard recreated &amp; deployed on staging.
10. Swachh City : PROD done, fixing of minor issues ongoing.
11. Toilet related requirement received, analysis done  &amp; shared with PMU
12. SBM Action Plan &amp; City Facilities mobile App: document awaited from ESRI after fixing. ESRI shared .apk files. 
13. Whatsapp integration with Swachhata App: development done, fine-tuning ongoing
</t>
  </si>
  <si>
    <t xml:space="preserve">1. Maintenance activities: Daily ULB support, Website changes ongoing.
2. New SBM Dashboard 2.0 development: Data to be verifed by state coordinator.
3. SS Activities : Mobile Apps – F2F sessions ongoing, DB changes ongoing at SBM. Citizen feedback questionnaire to be finalized. Citizen feedback UI changes design finalized.
4. Swachh City: Fixing ongoing for minor issues. Home page restructuring ongoing.
5. Closure of Cert-In audit findings for SBM Action Plan/City Facilities mobile app by ESRI.
6. Swachhata Citizen App &amp; whatsapp integration
7. DRAP dashboard updation on the feedback from DS
</t>
  </si>
  <si>
    <t>Angular, AWS Cloud, mySQl, Posgresql, NodeJS, Java, MongoDB, RESTAPI, HTML, PHP, MicroService, Quicksight,CSS, Flutter</t>
  </si>
  <si>
    <t xml:space="preserve">Major Challenges:
1. Majority of team members working remotely.
2. Interviews are ongoing to replace remote team members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</si>
  <si>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</si>
  <si>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</si>
  <si>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</si>
  <si>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</si>
  <si>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</si>
  <si>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</si>
  <si>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</si>
  <si>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</si>
  <si>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</si>
  <si>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Oracle Interactive Analytics Dashboard for Birth &amp; Death Statistics with dynamic charts, KPIs, and visual data insights.
3. iOAS and Android App
4. State onboard is on going.
5. Receive and provide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</si>
  <si>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 xml:space="preserve">
Oct Payment Received
Nov payment under process from IFA.
Dec attendace and doc verification ongoing.
Jan doc verification ongoing.
Payment Reconciliation &amp; Payment History Enhancement
correction frezz related issue
Bilingual langugae in Certificate
Add legacy data count in Daily report
DR site Testing  in SNAPSHOT Mode.
Vulnerability and Penetration Testing Input for GeM_CMS
Download Certificate through SMS Link
Profile Strengthening for DR
Generate FLag for uneven registration</t>
  </si>
  <si>
    <t>Node JS, Android, iOS, ORACLE database , REST, API design, HTML, CSS, JavaScript, JSON, IIS/ Apache, Linux, Aadhaar Vault, NSDL PayGov, C-DAC</t>
  </si>
  <si>
    <t xml:space="preserve">
1 Delete copyed Data in DMS server.
2 Improve security of Portal
3.Oracle Old Patch Updation
4 Telengana State Onboarding on CRS Portal- 1 st March
5. Verificatio for Navdeep Rana is pending.
6. DB table cleaning </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</si>
  <si>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</si>
  <si>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</si>
  <si>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</si>
  <si>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</si>
  <si>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</si>
  <si>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</si>
  <si>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</si>
  <si>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</si>
  <si>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</si>
  <si>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</si>
  <si>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</si>
  <si>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Deployment Done for Refund Module for Mumbai ICT for required functionalities/corrections.
SEZ is on progress.
OND cleared from Finance &amp; PGA. Currently in E-Office with ADG Sir.
KT started to PGA as directed by Client. </t>
  </si>
  <si>
    <t>Testing for all Refund on production.
Completing SEZ as per given timeline. 
SLA methodology finalization.
OND Invoice send to PAO.
Completion of KT to PGA.</t>
  </si>
  <si>
    <t>Java Struts, For upgrade - TBD</t>
  </si>
  <si>
    <t xml:space="preserve">SEZ is in progress; however, it is slightly delayed compared to the planned timeline shared earlier, as the requirements needed further clarification. The team is working continuously, including on Saturdays, to complete the activity.
Attendance software is in delay.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</si>
  <si>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</si>
  <si>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</si>
  <si>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</si>
  <si>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</si>
  <si>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</si>
  <si>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</si>
  <si>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</si>
  <si>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</si>
  <si>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</si>
  <si>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</si>
  <si>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We are currently in the stabilization period. Production-related issues are being addressed, and standard processes are being established.
Finance module UAT points are being taken care of. The Housing Loan demo has been scheduled. 9/9C activities are in progress.
The ticketing tool is currently under testing by TARCH, and the BI tool team has been informed to proceed with usage.</t>
  </si>
  <si>
    <t xml:space="preserve">Plan to Close Finance UAT points  and Stabilization issue </t>
  </si>
  <si>
    <t>Spring Boot, Odoo, React JS, Apache, PostgreSQL, Postman, Moodle, Figma, Ubuntu, AWS Cloud, Flutter, React, Node JS</t>
  </si>
  <si>
    <t xml:space="preserve">Resource Replacement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</si>
  <si>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</si>
  <si>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</si>
  <si>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</si>
  <si>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</si>
  <si>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</si>
  <si>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</si>
  <si>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</si>
  <si>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52</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</si>
  <si>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</si>
  <si>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</si>
  <si>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I updates
→ Phase 1 all 4 tracks billing completed.
→ Payment received till Track 4 for Phase 1.
→ All Nine modules of Phase I development &amp; production deployment is done.
→ Drone moved to Phase II.
→ Billing submitted for Phase II.
→ Phase II documentation for the modules developed till date has been submitted to DIC.
→ Phase II updates
→ Modules deployed on production
Team Structure, BICRS, Highway QR, Road Closure, Document Repository, Critical Correspondence, Json API Setu for Road Closure, MoRTH &amp; NHIDCL, Road Closure Enhancement,Deployment of NHIDCL and MoRTH,RSA Edit Observation, BICRS ATR (Enhancement), RSA Remarks (multiple feedbacks), Merge Contracts
- Requirement gathering done for
On boarding of DPR Consultant, Physical and Financial Progress, Issuance of NCR, Drone Video Report, NSV Surveys/Priority Maintenance, User fees agency, Payment to AE/IE, Digitalization of Schedule H, CO Division (Onboarding, Toll Master), Road Accident Monitoring and Reduction API, Onboarding O &amp; M Agency and Other Agency, BICRS ATR Enhancement, Contractor Onboarding, Digital O &amp; M MPR, LAC-1 (Alignment Approval), LAC- 2 (Plan approval), Critical Issues and Actions, Digital MPR(Construction),LOA Issuance of DPR Consultant, Appointment / DPR Personnel
- Requirement gathering in progress for
3H Paymnent for Land Acquisition - API, Utility Shifting, Critical Issues and Actions, Outstanding Payments, Rectification of Blackspots, Toll Collection API, Contractor Payment (During Maintainance), Monitoring 3A, Monitoring 3D, 3G Declaration of Award, 3 H Payment Land Aquisition, Application Permits, Utility Shifting, DPR Preparation, Submission and Review, Monitoring - 3A status - API, Monitoring - 3D status - API, 3G Declaration of Award - API, 3H Payment for Land Acquisition - API, Applicable Permits (Contractors/ NHAI), Utility Shifting, Payment for Contractor/Concessionaire during construction, Onboarding of Consultant (AE/IE/SC), Joint Memorandum of Handing over of Land or providing ROW, Design and Drwaing Submission Revision, Submission and Approval of Work Programme, Contractor manpower Deployment, Equipment Deployment, Construction Methodology, Quality Assurance Plan, Quality Inspection by SRDQ, Quality Inspection by PD / RO / GM, EoT, CoS/Withdrawl of Work, Surplus Land Monitoring, PCC / PCOD, Punchlist Monitoring, CC / COD
- Design in Progress
LAC-1 (Alignment Approval) - Review Pending
LAC- 2 (Plan approval) - Review Pending
Critical Issues and Actions
Onboarding of DPR consultant
LOA Issuance of DPR Consultant
Appointment / DPR Personnel
Critical Issues and Actions
- Module development in progress on
Issuance of NCR
Payment to AE/IE
NSV Surveys/Priority Maintance
Drone Video Report
Contractor Onboarding
Contractor Payment
Blackspot Mitigation and Monitoring System
MPR Maintenance
Onboarding of DPR Consultant
Accidents API
- Enhancements
Road Maintenance - offline /online solution
RSA tech optimization
TM - Scope based implementaion
TM - status update
Custom Pagination for all listing pages across application.
- Miscellaneous
API Performance
Query Optimisation
API versioning
Xray Implementation
Security fixes - generic to all modules</t>
  </si>
  <si>
    <t>→ UAT of Issuance of NCR, NSV, Payment to AE/IE &amp; API Versioning
→ Critical Issues, LAC-1 (Alignment Approval), LAC- 2 (Plan approval)
→ Feedbacks from field visit across modules.</t>
  </si>
  <si>
    <t>No-SQL, Ruby, Python, Java, HTML, CSS, JavaScript, Angular, React, GIS/ML, Cloud - TBD, Node JS, Rest API</t>
  </si>
  <si>
    <t>→ Phase II timelines are tight considering the workload and late onboarding of additional resources.
→ Replacement of BAs still pending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</si>
  <si>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</si>
  <si>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</si>
  <si>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</si>
  <si>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</si>
  <si>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</si>
  <si>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50</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</si>
  <si>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</si>
  <si>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</si>
  <si>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 xml:space="preserve">1] Krishi Mapper :
A. Master Dashboard Assign Target : Deployed on production for all the schemes : Target Achived API is implemented :verification is going on..
some changes has been proposed for landarea and polygon area....discussion comnpleted...now working on calcualtion of polygon area
c. State APIs :Soil health card API consumption in progress...state wise API Andhra pradesh Natural farming
d. User Management Assign Target : deployed over production..asked all the scheme owner to insert target..verfification of data is in progress
e. Edit functionality in mobile APP for updating the FY year and plot area. : rkvy/NF schemd has been done...working on other scheme
f. KM 2.0 : functionality discussion is done : working on current database migration
2] Natural Farming:
a. Rectifying and checking issue/points raised from different state regarding data upload in portal
3}. KY portal : developed all the module and asked client/consultant to walkover and check it
4. Agristack Dashboard : DCS dashboard changes has been proposed . clarity has been provided ...working on the API
FR Dashboard Data verification has been in process and also new dashboard as been deployed over production
</t>
  </si>
  <si>
    <t>1.Assign Target Assets : for scheme nmeo-os...changes has been proposed. 
2. NMEO-OP Assets : KM APP
3.Survey Details export excel feature with all mandatory data scheme wise
4.KM 2.0 : development start</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</si>
  <si>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</si>
  <si>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</si>
  <si>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</si>
  <si>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</si>
  <si>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</si>
  <si>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</si>
  <si>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</si>
  <si>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</si>
  <si>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</si>
  <si>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</si>
  <si>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</si>
  <si>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1 &amp; Q2&amp; Q3 &amp; Q4(Aug-25 to Oct. 25) payment and 60% Capex payment and also 2% capex payment released.
32 Manpower deployed as per client requirements.
ISO Certification Documents parts ready some parts are pending to client end for Audit.(Reminder 2 Letter submitted to client)
IT Equipment like server, Tape library &amp; switch and San storage AMC not start yet.(this is very critical,)-Pending from HO &amp; Purchase team &amp; Sales team.
SAN Storage issue pending long time but so solution received from HO.</t>
  </si>
  <si>
    <t>Q-5(Nov.25 - Jan.26) Documents preparation Work for billing.
Videowall repaired on 28th Nov. bill submitted to Insurance team for payment. (Hardcopy submitted for payment.(Follow-up mail drop to insurance team for payment)
Q.5(Nov.25 - Jan.26) PM activity and breakdown issues resolve as per requirement.
Letter submit to client for ISO certificate.(yesterday ISO audit team discussion he will check any other solution for get certificate)- Reminder letter submission to client in coming week.
IT Equipment like server, Tape library &amp; switch and San storage AMC not start yet.(this is very critical,)-Pending from HO &amp; Purchase team.
SAN storage discussion from HO for closer.</t>
  </si>
  <si>
    <t>NA</t>
  </si>
  <si>
    <t>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 Bill not proceed without this issue resolution.</t>
  </si>
  <si>
    <t>Sachin S</t>
  </si>
  <si>
    <t>Kanpur SC O&amp;M</t>
  </si>
  <si>
    <t>Kanpur SC O&amp;M tech mahindra TECHM</t>
  </si>
  <si>
    <t>42 month</t>
  </si>
  <si>
    <t>Start Date (PO) : 01-Jan-23 :: End Date (PO) : 25-Jun-26</t>
  </si>
  <si>
    <t>43</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</si>
  <si>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</si>
  <si>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</si>
  <si>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Jun26 (Total 10 quarters payment released- 75%)
2) Billing done for AMJ’25 Qtr amounting to INR 3.81 Lacs
</t>
  </si>
  <si>
    <t>1)To commence the expedition of ANPR locations for 10 locations proposed from client.-Awaiting for commercial go ahead from Tech-M
2) Coordination for renewal of P.O of manpower agency M/s SPIT expiring on 13th Feb’26
3) Coordination with vendor Videonetics for UAT towards their implemented application in compliance towards the client’s requirement.
4) Forecasting of material requirement for ATCS-23 junction works.
5) Discussion with Tech-M towards commercial quotation provided for 4 routes where dismantling is instructed from Setu Nigam Dept.
6) Seeking appointment of Setu Nigam engg conducting survey at Jareeb Chowki location to explore the feasibility of retaining or shifting the surveillance cameras for keeping it functional (as required to Police Dept ) while in the course of bridge construction from Setu Nigam. 
7) Weekly testing for onsite Speed Calibration for ITMS-SVD
8) Coordination with Tech-M for Metro Inventory consolidation
9) Reimbursement of recurring charges from Tech-M
10) Follow-up with purchase on procurement of batteries, Nova-star –multimedia player, LED Screen Hub Board &amp; Receiving Card.
11) Expediting installation work of smart parking sensors, gateways, anteenas.
12) Inventory Consolidation for material at sites which are out of network.
13) Expedition on 16 sites out of ATCS -23 junctions for making it operational dependence on SPIT
14) Troubleshooting of Videonetics ITMS application.
15) Exploring VMSB issue resolution to make it live 
16) Replacement of batteries at D.C on priority.
17) Hiring for 3 position in the project for Field Lead, ICCC Operator, Field Engg. Though candidate shortlisted for ICCC operator client yet to approve on candidate.</t>
  </si>
  <si>
    <t>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Unavailability of resource for the position of Field Team Lead since Nov’25 is hampering the site activities tasks.
12) Smart parking- Nov Star multimedia player, LED Screen Hub Board &amp; Receiving Card delay in procurement will also delay the delivery of solution to client.</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</si>
  <si>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</si>
  <si>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</si>
  <si>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</si>
  <si>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</si>
  <si>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</si>
  <si>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</si>
  <si>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</si>
  <si>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</si>
  <si>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</si>
  <si>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March April 2025 payment is already processed from NMPA.
May to Dec 2025 CAMC invoice is already submitted to NMPA for payment process.
FOT and PF gate order excursion need to be started. customer timeline is end of Feb 2026.
CEL and CMS integration is in progress.
Few other software changes are pending for our end
 </t>
  </si>
  <si>
    <t>3. M/s. CMS shall complete the respective works in KIOCL FOT Gates as per WO No. NMPA/CME/2023-24/RFID dtd 27.11.2025, latest by 28th February 2026.
4. M/s. CMS shall complete FRS camera installation and commissioning, latest by 28th February 2026.
5. M/s. CMS shall complete the implementation of Online pass issuance through FRS for Shore Leave Pass (SLP) and Sign-On/Off Pass for Crew/Supernumerary of Indian Flag on Coastal Run Vessels, latest by 16th February 2026.
6. M/s. CMS shall provide the logic and process/work flow for implementing Fastag based Gate Access System for the entire Port at the earliest.
7. After any major damage is caused accidentally by any third party to the hardware and system used, M/s. CMS shall rectify and take the system into full fledged functioning within a maximum period of 07 (seven) days.</t>
  </si>
  <si>
    <t xml:space="preserve">SO is not yet generated,
FOT and PF gate order excursion need to be started. customer timeline is end of Feb 2026.
Payment gateway integration is delayed from our end
3. M/s. CMS shall complete the respective works in KIOCL FOT Gates as per WO No. NMPA/CME/2023-24/RFID dtd 27.11.2025, latest by 28th February 2026.
4. M/s. CMS shall complete FRS camera installation and commissioning, latest by 28th February 2026.
5. M/s. CMS shall complete the implementation of Online pass issuance through FRS for Shore Leave Pass (SLP) and Sign-On/Off Pass for Crew/Supernumerary of Indian Flag on Coastal Run Vessels, latest by 16th February 2026.
6. M/s. CMS shall provide the logic and process/work flow for implementing Fastag based Gate Access System for the entire Port at the earliest.
</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</si>
  <si>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</si>
  <si>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</si>
  <si>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</si>
  <si>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</si>
  <si>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</si>
  <si>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</si>
  <si>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</si>
  <si>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</si>
  <si>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</si>
  <si>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 We have installed 28 no new signal and 10 old signal upgraded 
2. Project Under O &amp;  M</t>
  </si>
  <si>
    <t xml:space="preserve">1. Invoice measurement sign off document 
2. New software testing UCON 12
3. O &amp; M activity   </t>
  </si>
  <si>
    <t>17 no UCON controller need to update.
 7 no location battery stolen which is under insurance.</t>
  </si>
  <si>
    <t/>
  </si>
  <si>
    <t>Sachin R</t>
  </si>
  <si>
    <t>VADODARA ICCC</t>
  </si>
  <si>
    <t>VADODARA ICCC vadodara</t>
  </si>
  <si>
    <t>Start Date (PO) : 01-Aug-24 :: End Date (PO) : 31-Jul-29</t>
  </si>
  <si>
    <t xml:space="preserve">17 </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</si>
  <si>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</si>
  <si>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</si>
  <si>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1. It is under O &amp; M , currently second year 3 quater in progress 
2. we have deployed 17 no manpower 
3. New EMS and environment sensor installation 
4. RF Tower painting done 
</t>
  </si>
  <si>
    <t xml:space="preserve">1. Maintenance activity 
2.VMD painting activity 
3.SLA maintained as per  
4.Invoice process with Client </t>
  </si>
  <si>
    <t>10 no CDT spare material procurement pending since long time.---VMC ATCS
VMD application testing done but controller replacement activity pending. New controller under procurement --- ICCC
17 no of UCON 10 controller we needs to replace. - ICCC
300 faulty module given to OEM for replace material --- VMC-P4 LED
40 no location battery stolen. Insurance under process
DR OEM needs to final – ICCC Project
Around 400 no Battery replacement pending from EATON and HBL side.
Videonetics support not available on project site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</si>
  <si>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</si>
  <si>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</si>
  <si>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</si>
  <si>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</si>
  <si>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</si>
  <si>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</si>
  <si>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</si>
  <si>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</si>
  <si>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One ITMS Junction, One ATCS junction Cabling work in progress.
2. 2 Existing ITMS Upgradation work in progress.
3. HDD work at 2 ITMS/ATCS junction site survey completed and awaiting for duct delivery.</t>
  </si>
  <si>
    <t>1. Switch/Camera Make and model approval WIP at ISCDL. expected to received the approval by 13th Feb 2026.
2. Civil foundation casting work in progress at 3 junctions.</t>
  </si>
  <si>
    <t>As per confirmation by CEO sir, Payment file will be process in 3rd week of months, post the BRTS work completion. If any E-challan amount received at ISCDl, this will be reimbursed any day.</t>
  </si>
  <si>
    <t>Akash K</t>
  </si>
  <si>
    <t>IREL</t>
  </si>
  <si>
    <t>INDIAN RARE EARTHS LIMITED - IREL</t>
  </si>
  <si>
    <t>SITC –  12 Months , O&amp;M -  4 Yrs</t>
  </si>
  <si>
    <t>Milestonewise</t>
  </si>
  <si>
    <t>Start Date (PO) : 29-Oct-18 :: End Date (PO) : 30-Sep-25</t>
  </si>
  <si>
    <t>21</t>
  </si>
  <si>
    <t>As per Achievement</t>
  </si>
  <si>
    <t>Development of  Integrated ERP System (IITS) (326 L) 
FMS including support &amp; maintenance (147 L)
Cloud Services (574 L)
Change Request (63 K)</t>
  </si>
  <si>
    <t>Website has successfully configured on CSC servers.
Payroll end to end testing completed upto July.
HR regression testing has completed for all modules.
SM and MM bugs fixing 
FA feedbacks analysis is going on.</t>
  </si>
  <si>
    <t>FA costing modules development will be started parallelly.
Website DNS changes will be started.
Payroll KT will be given to tester from SME.</t>
  </si>
  <si>
    <t>Core Java, BIRD tool, postgre, ESDS cloud</t>
  </si>
  <si>
    <t>Customer is not performing transactions as expected.
Old data of material stocks correction for RED is taking more time.</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</si>
  <si>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</si>
  <si>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</si>
  <si>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</si>
  <si>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</si>
  <si>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</si>
  <si>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</si>
  <si>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</si>
  <si>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</si>
  <si>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</si>
  <si>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but not working properly, commissioning &amp; integration with ICCC application not completed.  
3.	VMD: 10/10 Nos. VMD foundation done and Display installed. Application installed but commissioning &amp; integration with ICCC application not completed.  Earth-pit installation work started. Cable laying, connection, configuration and commissioning pending for VMD due to Meter power, UPS power and JB not available and Network also not available from Honeywell end.
4.	ECB: 20/20 Nos. ECB enclosure foundation &amp; installation done, all 20 ECB installation done and power on. Application installed but commissioning &amp; integration with ICCC application not completed.  Have issues in application. Sparsh team working on it. 
5.	GIS application installation and integration done. 
6.	8 No. EVS power on. 2 EVS still Power off due to power not available from HW team. Application and integration done. 
7.	99% billing done. 
</t>
  </si>
  <si>
    <t xml:space="preserve">1.	ECB &amp; EVS, VMD commissioning. 
2.	ECB/PA application rectification and integration.  
</t>
  </si>
  <si>
    <t xml:space="preserve">1.	VMD controller received but sending card not available with controller. The sending card not considered earlier by designed team. Now without sending card VMD controller will not work. It is very critical. We have arranged TB-30 Controller for resolution. But EMS controller going hang condition frequently. Need urgent solution for this. Also, Image or text published from application and services abut not shown on the screen.
2.	Cable laying work for VMD is not yet started. The Bonsai not showing interest to work. Now it is very critical. 
3.	ECB/PA OEM ( Sparsh) not supportive properly. Have hardware issues and Application issues. Sparsh 5 Nos ECB Are found faulty. Need urgent support from them.
</t>
  </si>
  <si>
    <t>Arindam R</t>
  </si>
  <si>
    <t>MCS - L&amp;T</t>
  </si>
  <si>
    <t xml:space="preserve">Mumbai city surveillance larsen and toubro mcs </t>
  </si>
  <si>
    <t>Mumbai City Surveillance</t>
  </si>
  <si>
    <t>3 months</t>
  </si>
  <si>
    <t>Start Date (PO) : 31-Dec-25 :: End Date (PO) : 04-Mar-26</t>
  </si>
  <si>
    <t>224</t>
  </si>
  <si>
    <t>72.86 L</t>
  </si>
  <si>
    <t>Viewing Manpower in 4 shifts including backup to cover 203 shifts daily.</t>
  </si>
  <si>
    <t xml:space="preserve">2 Candidates joined at CP Office and TPHQ.
3 Candidates Documentation process is in progress for Training.
2 Candidates are lined up for interview this week.
Submitted January-2026 month's invoice </t>
  </si>
  <si>
    <t xml:space="preserve">Daily 2 candidates Interview for this week
Follow-up on New Work Order correction for next 3 months
</t>
  </si>
  <si>
    <t xml:space="preserve">CMS HR not submitted PF &amp; ESIC Challans to Customer (L&amp;T)
Recruitment of 20 Candidates. </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</si>
  <si>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</si>
  <si>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</si>
  <si>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</si>
  <si>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</si>
  <si>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</si>
  <si>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</si>
  <si>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</si>
  <si>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</si>
  <si>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</si>
  <si>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</si>
  <si>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The Energy Management Software (EMS) Development Project for Jawaharlal Nehru Port Trust (JNPA SEZ) is progressing steadily with major infrastructure and software components completed.
✅ IT Infrastructure &amp; EMS Deployment: Servers installed, EMS/EEMS deployed at NOC, cloud integration completed, and system ready for live operation.
⚠️ Substation &amp; SCADA Integration: IP architecture configured and locally tested; pending fiber cores, network switches, and RailTel connectivity. SCADA communication established, with commercial dependency on GE data sharing.
⚠️ Electrical Metering (ABT &amp; Billing): ABT meters installed but awaiting formal approval and CT core utilization confirmation. Billing meter communication established for one meter; remaining modem installations in progress.
⚠️ RMU Panel Communication: Survey completed; communication pending due to OFC network readiness and scope confirmation.
⚠️ Water Metering: 62 meters delivered; 6 installed and tested. Remaining installations depend on site readiness and confirmations from the Water Department.</t>
  </si>
  <si>
    <t>Finalizing the bills generated for electricity meters and planning for water and electricity meter modem installation</t>
  </si>
  <si>
    <t>PostgreSQL, DLMS, MODBUS, GPRS, Python, DotNet MVC</t>
  </si>
  <si>
    <t>Network Dependency: Pending OFC fiber cores, network switches, and RailTel connectivity delaying full substation and RMU integration.
SCADA Data Sharing Constraint: Data transfer from GE SCADA to CMS is chargeable, requiring commercial clarity or alternate network planning.
Approval Dependency: Formal approval awaited for CT core utilization for ABT meter integration.
Field Readiness Issues: Valve readiness, ducting, power availability, and location finalization pending for large-size water meters (80 mm, 100 mm, 400 mm).
Interdepartmental Coordination: Dependency on JNPA Water Department and network vendor may impact timelines.</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</si>
  <si>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</si>
  <si>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</si>
  <si>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</si>
  <si>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</si>
  <si>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</si>
  <si>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</si>
  <si>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</si>
  <si>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</si>
  <si>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</si>
  <si>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</si>
  <si>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Project Status Summary
✅ Completed
Overall Second Phase Development – Completed
Internal Security Audit Implementation – Completed
Third Party Security Implemented – Completed (Waiting for certificate)
Third Phase Tasks Analysis – Completed
Register activation post QAP approval – Completed
WPSS Forms conditional logic – Completed
QAP Part B not editable for Standard Girder – Completed
Standard Case: QAP Part B restricted from moving to RDSO after CBE – Completed
🔄 Work in Progress
RDSO Certificate in Hindi
Role &amp; Designation Menu Mapping
Seek Clarification Workflow
Preview &amp; Save Functionality
Step Loading / Staging Flow
Approval History Tracking
Third Phase Task Summary –
 Functional Enhancements &amp; System Improvements
1️⃣ Reports &amp; Dashboard Enhancements
Reports generation for Admin and Users
Clickable Dashboard with Delayed &amp; Progress Status
Dashboard Notifications
My Project listing with color-based status indicators
2️⃣ Inspection &amp; Register Module Improvements
Multiple Inspection Request form corrections
Enable multiple Raw Material Inspection Requests
Register activation post QAP approval
Register submission optional for Fabricator (fill or skip)
GST form upload/download in Inspection form
Search button for Registers
Span/Girder selection for Inspector
3️⃣ QAP &amp; WPSS Enhancements
WPSS Forms conditional logic implementation
Workshop selection for QAP/WPSS approval with Dy CE
QAP Part B editable based on comment type (Fabricator, CBE, RDSO)
Restrict QAP Part B edit for Standard Girder
Prevent QAP Part B movement to RDSO in Standard case
QAP &amp; WPSS approval certificate generation
Watermark on QAP after approval (“Approved by RDSO / Inspection Agency”)
4️⃣ GAD Module Improvements
Parent–Child GAD data addition (multiple girders under one GAD ID)
Allow editing of added GAD data
Multiple Contractor &amp; Workshop selection per GAD
Multiple GAD entries under one GAD No.
RRCAS ID auto-population from CRIS API
Girder cost entry restricted to Railway Junior Officer / Executing Agency
5️⃣ Inventory &amp; Fabricator Enhancements
Inventory update at Fabricator end
Reflect inventory details during Agency selection
Log module for edit functionality tracking
Heat No. &amp; Plate No. validation
Traceability implementation
6️⃣ Approval Flow &amp; Role Management
RDSO approval flow (both cases)
Role-based menu mapping
Approval history tracking
Action button visibility in rows
Seek clarification workflow
Preview &amp; Save functionality
Staging/Step loading improvements
7️⃣ UI &amp; Usability Improvements
Tooltips for all forms
Additional text field inclusion
Action button display improvements
8️⃣ Mobility &amp; Real-Time Monitoring
Mobile App for Inspector
Real-time monitoring of trial assembly
Geo-tagging for Inspector &amp; Fabricator</t>
  </si>
  <si>
    <t>RDSO Certificate in Hindi
Role &amp; Designation Menu Mapping
Seek Clarification Workflow
Preview &amp; Save Functionality
Step Loading / Staging Flow
Approval History Tracking</t>
  </si>
  <si>
    <t>JAVA 20, Springboot, PostgreSql, React, AWS Cloud, Microservices, Postman, Apache Tomcat webserver, SSL, Oauth, AWS ECS</t>
  </si>
  <si>
    <t>The Third Phase task requirements were received at a later stage of development.
These requirements involve complex logical changes within the application, including workflow modifications, approval flow restructuring, conditional validations, and role-based behavior adjustments.</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</si>
  <si>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</si>
  <si>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</si>
  <si>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</si>
  <si>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</si>
  <si>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</si>
  <si>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</si>
  <si>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 xml:space="preserve">Working on code deployment on Production Server and other setup like GIS, SMS  </t>
  </si>
  <si>
    <t>Go Live of first phase on 23rd Feb</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</si>
  <si>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</si>
  <si>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</si>
  <si>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</si>
  <si>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</si>
  <si>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</si>
  <si>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</si>
  <si>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14</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</si>
  <si>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</si>
  <si>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</si>
  <si>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BMCC Updates:
- Organizer-wise booking highlights have been added to the availability calendar. Deployed to production on 17-02-2026.
- Admin portal fixes and disclaimer updates have been completed and moved to production on 17-02-2026.
- GST verification bypass has been implemented with an automated daily cron job and retry mechanism.
- Occupancy report has been enhanced with date filters and download functionality. Deployed to production on 17-02-2026.
Aahar-26 Updates:
- Add-on services (Electricity, Water, Exhibitor Badges) have been configured and moved to production on 17-02-2026.
- Sponsorship module updated with single-flow payment, revised pricing, receipt and report enhancements, along with successful production UAT. Deployed on 17-02-2026.
- Digitization of multiple halls and booth layouts (FF, GF, Open Areas) with stall category and booking eligibility configuration completed. Deployed on 13-02-2026.
- Payment-wise and area-wise reports have been generated and shared with ITPO.
Mobile Application Updates:
- Enhancements completed for India AI Impact Summit, including hall layout screens, stall listing updates, event card UI fixes, and layout verification.
- “Unexpected Error Occurred” popup issue has been addressed; partially resolved and currently under observation. Changes deployed on 17-02-2026.
- Android Mobile App VAPT issues have been resolved in production and shared with ITPO for reassessment.
Attendance Module:
- Enhancements implemented with 15-minute and 60-minute relaxation logic. Production UAT successfully completed.</t>
  </si>
  <si>
    <t>- VAPT issues fixes of the iOS Mobile App. 
- VAPT issues fixes of the Booking portal
- Alert Module 
- Hall Service addition from Admin panel
- Website UI enhancement</t>
  </si>
  <si>
    <t>- Backend: Node.js (Java script- Nest.Js Framework)
- Frontend: Angular
- DB: MySQL</t>
  </si>
  <si>
    <t>BMCC booking data matching 
Frontend &amp; Backend resource unavailability</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</si>
  <si>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</si>
  <si>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</si>
  <si>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</si>
  <si>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</si>
  <si>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</si>
  <si>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</si>
  <si>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</si>
  <si>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</si>
  <si>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</si>
  <si>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</si>
  <si>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</si>
  <si>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</si>
  <si>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</si>
  <si>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</si>
  <si>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</si>
  <si>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</si>
  <si>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</si>
  <si>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</si>
  <si>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</si>
  <si>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O&amp;M quarter 2 bills submitted with an amount of 1.13Cr and its under process. TSG conducted and payment process is in progress
Commercial submitted of Alappey 5 new Siren requirement with a value of 3.15Cr. TSG conducted and it is asked the given quote is very high and needs to rework on this. We are taking a commercial concurrence on this.</t>
  </si>
  <si>
    <t>Collection for the first and second quarter invoices. TSG conducted and payment process is in progress.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</si>
  <si>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</si>
  <si>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</si>
  <si>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</si>
  <si>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</si>
  <si>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</si>
  <si>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</si>
  <si>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</si>
  <si>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4</t>
  </si>
  <si>
    <t>18.04 L</t>
  </si>
  <si>
    <t xml:space="preserve">5Years O&amp;M for 
•	ERP Solutions
•	16 Nos ATCS junctions
•	20 Nos ECB
•	25 Nos PA
•	15 Nos VMD
•	60 Nos GPS
•	ICCC Software 
-- with ITMS expert and field expert.  </t>
  </si>
  <si>
    <t xml:space="preserve">•	 ATCS, ECB, PA, VMD, GPS and VDC maintenance work going on.
•	1. Quarterly PM report submitting as per the BSCL and SPCL requirement.
•	2. ERP solutions developing work still going on. As per the BSCL and MD instructions almost all modules development done. Some development parts still pending. Request for services module not yet done.
•	3. Trade license, building plans, Property Tax, Grievances, Web Portal modules handed over to Nagar Nigam.
•	4. GPS iTraiangel not given proper support to close the Data issues and rectification of the reports. Need to close the issues immediately. Management intervenes required.
</t>
  </si>
  <si>
    <t xml:space="preserve">1.	ERP completion.
2.	SWM issue resolution.
</t>
  </si>
  <si>
    <t xml:space="preserve">1.	SoftTech has stopped providing support for the Request for Services module and has put its development on hold due to financial constraints. Immediate management support is requested to resume the development.
2. Bhagalpur Site Power Issues:Bhagalpur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Ucon-Stacks are required very urgently. - 4 Nos. UCon Stacks immediate required. 
5. MD/ Municipal commissioner of Bhagalpur instructed that all property tax challan must be generated from CMS website from 06/02/2026 onwards, SoftTech uploaded all 70K property tax data in the System. 
</t>
  </si>
  <si>
    <t>Muzaffarpur O&amp;M</t>
  </si>
  <si>
    <t>Muzaffarpur Smart City O&amp;M (Shapoorji Pallonji)</t>
  </si>
  <si>
    <t>Start Date (PO) : 25-May-23 :: End Date (PO) : 24-May-28</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</si>
  <si>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</si>
  <si>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</si>
  <si>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</si>
  <si>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</si>
  <si>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</si>
  <si>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</si>
  <si>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</si>
  <si>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</si>
  <si>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</si>
  <si>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</si>
  <si>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</si>
  <si>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7 Qtr. billing done.
2.	Out of 7 Qtr.,6 Qtr. Payment received &amp; 7th Qrt payment pending.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</si>
  <si>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</si>
  <si>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on a daily basis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</si>
  <si>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</si>
  <si>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</si>
  <si>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</si>
  <si>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</si>
  <si>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</si>
  <si>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</si>
  <si>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</si>
  <si>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</si>
  <si>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</si>
  <si>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1st Location : Final permission still awaited, expected to receive in next week.
2nd Location : Permission is in progress.
Post the first site permission is received will process server purchase order.</t>
  </si>
  <si>
    <t>Permission confirmation for 1st site, processing the 2nd site permission submitting block diagram for second site. placing Server order. 
Assigning work to Contractor.</t>
  </si>
  <si>
    <t>Permission may further delay.</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</si>
  <si>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</si>
  <si>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</si>
  <si>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</si>
  <si>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</si>
  <si>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</si>
  <si>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</si>
  <si>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</si>
  <si>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10</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</si>
  <si>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</si>
  <si>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</si>
  <si>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RFP understanding discussions have been completed with business users for all listed modules.
FRS documentation is completed for HRMS and Finance &amp; Accounting.
IT &amp; Admin FRS is currently under progress.
Finance &amp; Accounting module development is completed.
HRMS and IT &amp; Admin modules are currently in progress.
1️⃣ HRMS – Sub-Modules Status
✅ Fully Completed (FRS Done – Awaiting Business Closure)
Employee Onboarding
Leave
Training
Bonafide
Office Order
Seniority List Report
Attendance
Remark: Feedback received; awaiting business user confirmation to close input points.
</t>
  </si>
  <si>
    <t xml:space="preserve">Tour (Feedback incorporation ongoing)
Administrative Work (Feedback incorporation ongoing)
Appraisal (Wireframe &amp; FRS in progress)
Payroll (FRS in progress)
Employee Self Service (ESS) (Wireframe &amp; FRS in progress)
</t>
  </si>
  <si>
    <t>Spring Boot, Odoo, React JS, Apache, PostgreSQL, Postman, Moodle, Figma, Ubuntu, NIC Cloud, Flutter, Node JS</t>
  </si>
  <si>
    <t>Majority of HRMS and Finance modules are completed and pending business signoff.
Admin module largely implemented, with selected modules integrated via Odoo and GLPI.
Remaining effort focused on feedback incorporation, FRS completion, and formal signoffs.</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</si>
  <si>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</si>
  <si>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</si>
  <si>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</si>
  <si>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</si>
  <si>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</si>
  <si>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</si>
  <si>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</si>
  <si>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</si>
  <si>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</si>
  <si>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</si>
  <si>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</si>
  <si>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Munciple Corporation</t>
  </si>
  <si>
    <t>4 months + O&amp;M 5 Yr</t>
  </si>
  <si>
    <t>80% Capex on SITC
20% Capex after system stabilization (post Go-Live 2 months)
5% of CAMC amount/Qtr for 20 Qtrs.</t>
  </si>
  <si>
    <t>Start Date (PO) : 15-Jan-26 :: End Date (PO) : 14-May-26</t>
  </si>
  <si>
    <t xml:space="preserve">Currently no man power available </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</si>
  <si>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</si>
  <si>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</si>
  <si>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 xml:space="preserve">1. Site survey done on 6-02-2026 and 07-02-2026
2. Project Kick of meeting done on 12-02-2026
3. Contract agreement and PBG submission in process
4. Project plan, survey report, structura drawing submission done for approval
5.Materail procurements under process     </t>
  </si>
  <si>
    <t xml:space="preserve">1. Contract agreement and PBG submission
2. Project plan, survey report, structura drawing submission done for approval follow up
3.Material Procurement follow up
4. Follow with HR to final manpower deployment </t>
  </si>
  <si>
    <t xml:space="preserve">1. Manpower deployment 
2. LED and Pole structure vendor finalization 
3. Warehouse not final by OEG team.
4.Matreail and service PO follow up with purchase </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</si>
  <si>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</si>
  <si>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</si>
  <si>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</si>
  <si>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</si>
  <si>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</si>
  <si>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</si>
  <si>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We have submitted hardware &amp; components data sheets and compliance to customer for validation and approval, expecting to receive the same in early next week.
We have raised the PR for all components except Cables and UPS and have asked purchase to take the procurement on priority.</t>
  </si>
  <si>
    <t>We will carry site survey along with KDMC officials &amp; Traffic Police and take their consent on the plan before starting the deployment, post this survey KDMC officials will issue us a letter to start the work on site.
Have already asked Purchase to finalize the vendor for onsite work.</t>
  </si>
  <si>
    <t>We may need a Store room at Dombivli to keep our material during Project phase.</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</si>
  <si>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</si>
  <si>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</si>
  <si>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</si>
  <si>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</si>
  <si>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</si>
  <si>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0</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</si>
  <si>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</si>
  <si>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the project activity is yet to be started from CMS side as the hardware is pending from client end.</t>
  </si>
  <si>
    <t>NADIAD MUNICIPAL CORPORATION</t>
  </si>
  <si>
    <t xml:space="preserve">NADIAD MUNICIPAL CORPORATION NADIAD MUNICIPAL CORPORATION NADIAD MUNICIPAL CORPORATION </t>
  </si>
  <si>
    <t>12 months + O&amp;M 5 Yr</t>
  </si>
  <si>
    <t>Start Date (PO) : 29-Jan-26 :: End Date (PO) : 28-Jan-32</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</si>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</sst>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4">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3" fillId="0" borderId="2" xfId="3" applyNumberFormat="1" applyBorder="1"/>
    <xf numFmtId="0" fontId="0" fillId="0" borderId="4" xfId="0" applyBorder="1"/>
    <xf numFmtId="0" fontId="0" fillId="0" borderId="5" xfId="0" applyBorder="1"/>
    <xf numFmtId="0" fontId="3" fillId="0" borderId="5" xfId="3" applyNumberFormat="1" applyBorder="1"/>
    <xf numFmtId="0" fontId="3" fillId="0" borderId="5" xfId="3"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BD5EBAE1-39C0-4A14-8235-641E8954993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20E01-8EB0-4BAA-A6F6-5AE76BD73020}">
  <dimension ref="A1:AD34"/>
  <sheetViews>
    <sheetView tabSelected="1" workbookViewId="0">
      <selection sqref="A1:AD34"/>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704.14078450000079</v>
      </c>
      <c r="I2" s="8">
        <v>23</v>
      </c>
      <c r="J2" s="8">
        <v>727.14078450000079</v>
      </c>
      <c r="K2" s="8">
        <v>83</v>
      </c>
      <c r="L2" s="9">
        <v>136.10376229999929</v>
      </c>
      <c r="M2" s="8">
        <v>256.74138930000026</v>
      </c>
      <c r="N2" s="8">
        <v>23.340126300000005</v>
      </c>
      <c r="O2" s="8" t="s">
        <v>34</v>
      </c>
      <c r="P2" s="10">
        <v>0.83801886865158615</v>
      </c>
      <c r="Q2" s="11" t="s">
        <v>35</v>
      </c>
      <c r="R2" s="11" t="s">
        <v>36</v>
      </c>
      <c r="S2" s="11" t="s">
        <v>37</v>
      </c>
      <c r="T2" s="11" t="s">
        <v>38</v>
      </c>
      <c r="U2" s="11" t="s">
        <v>39</v>
      </c>
      <c r="V2" s="11" t="s">
        <v>40</v>
      </c>
      <c r="W2" s="11" t="s">
        <v>41</v>
      </c>
      <c r="X2" s="11" t="s">
        <v>42</v>
      </c>
      <c r="Y2" s="11" t="s">
        <v>43</v>
      </c>
      <c r="Z2" s="12">
        <v>46072</v>
      </c>
      <c r="AA2" s="13">
        <v>0.49430917436831112</v>
      </c>
      <c r="AB2" s="13">
        <v>0.4323402397342212</v>
      </c>
      <c r="AC2" s="14" t="s">
        <v>31</v>
      </c>
      <c r="AD2" s="15" t="s">
        <v>44</v>
      </c>
    </row>
    <row r="3" spans="1:30" x14ac:dyDescent="0.25">
      <c r="A3" s="5">
        <v>2</v>
      </c>
      <c r="B3" s="6" t="s">
        <v>45</v>
      </c>
      <c r="C3" s="7" t="s">
        <v>46</v>
      </c>
      <c r="D3" s="7" t="s">
        <v>47</v>
      </c>
      <c r="E3" s="7" t="s">
        <v>32</v>
      </c>
      <c r="F3" s="7" t="s">
        <v>33</v>
      </c>
      <c r="G3" s="8">
        <v>1440.002</v>
      </c>
      <c r="H3" s="8">
        <v>933.57419400000003</v>
      </c>
      <c r="I3" s="8">
        <v>45</v>
      </c>
      <c r="J3" s="8">
        <v>978.57419400000003</v>
      </c>
      <c r="K3" s="8">
        <v>60</v>
      </c>
      <c r="L3" s="9">
        <v>506.42780599999992</v>
      </c>
      <c r="M3" s="8">
        <v>434.08749999999998</v>
      </c>
      <c r="N3" s="8">
        <v>45.0625</v>
      </c>
      <c r="O3" s="8" t="s">
        <v>34</v>
      </c>
      <c r="P3" s="10">
        <v>0.64831451206317769</v>
      </c>
      <c r="Q3" s="11" t="s">
        <v>35</v>
      </c>
      <c r="R3" s="11" t="s">
        <v>48</v>
      </c>
      <c r="S3" s="11" t="s">
        <v>49</v>
      </c>
      <c r="T3" s="11" t="s">
        <v>50</v>
      </c>
      <c r="U3" s="11" t="s">
        <v>51</v>
      </c>
      <c r="V3" s="11" t="s">
        <v>52</v>
      </c>
      <c r="W3" s="11" t="s">
        <v>53</v>
      </c>
      <c r="X3" s="11" t="s">
        <v>54</v>
      </c>
      <c r="Y3" s="11" t="s">
        <v>55</v>
      </c>
      <c r="Z3" s="12">
        <v>46072</v>
      </c>
      <c r="AA3" s="13">
        <v>0.2899944699302458</v>
      </c>
      <c r="AB3" s="13">
        <v>0.19000000008625473</v>
      </c>
      <c r="AC3" s="14" t="s">
        <v>46</v>
      </c>
      <c r="AD3" s="15" t="s">
        <v>56</v>
      </c>
    </row>
    <row r="4" spans="1:30" x14ac:dyDescent="0.25">
      <c r="A4" s="5">
        <v>3</v>
      </c>
      <c r="B4" s="6" t="s">
        <v>57</v>
      </c>
      <c r="C4" s="7" t="s">
        <v>58</v>
      </c>
      <c r="D4" s="7" t="s">
        <v>59</v>
      </c>
      <c r="E4" s="7" t="s">
        <v>32</v>
      </c>
      <c r="F4" s="7" t="s">
        <v>33</v>
      </c>
      <c r="G4" s="8">
        <v>849.8214484745763</v>
      </c>
      <c r="H4" s="8">
        <v>536.06426760000022</v>
      </c>
      <c r="I4" s="8">
        <v>68</v>
      </c>
      <c r="J4" s="8">
        <v>604.06426760000022</v>
      </c>
      <c r="K4" s="8">
        <v>81</v>
      </c>
      <c r="L4" s="9">
        <v>313.75718087457608</v>
      </c>
      <c r="M4" s="8">
        <v>282.54971539999985</v>
      </c>
      <c r="N4" s="8">
        <v>0</v>
      </c>
      <c r="O4" s="8" t="s">
        <v>60</v>
      </c>
      <c r="P4" s="10">
        <v>0.63079634970643761</v>
      </c>
      <c r="Q4" s="11" t="s">
        <v>35</v>
      </c>
      <c r="R4" s="11" t="s">
        <v>61</v>
      </c>
      <c r="S4" s="11" t="s">
        <v>62</v>
      </c>
      <c r="T4" s="11" t="s">
        <v>63</v>
      </c>
      <c r="U4" s="11" t="s">
        <v>64</v>
      </c>
      <c r="V4" s="11" t="s">
        <v>65</v>
      </c>
      <c r="W4" s="11" t="s">
        <v>66</v>
      </c>
      <c r="X4" s="11" t="s">
        <v>67</v>
      </c>
      <c r="Y4" s="11" t="s">
        <v>68</v>
      </c>
      <c r="Z4" s="12">
        <v>46065</v>
      </c>
      <c r="AA4" s="13">
        <v>0.32668642740913656</v>
      </c>
      <c r="AB4" s="13">
        <v>0.11942473989981339</v>
      </c>
      <c r="AC4" s="14" t="s">
        <v>58</v>
      </c>
      <c r="AD4" s="15" t="s">
        <v>69</v>
      </c>
    </row>
    <row r="5" spans="1:30" x14ac:dyDescent="0.25">
      <c r="A5" s="5">
        <v>4</v>
      </c>
      <c r="B5" s="6" t="s">
        <v>70</v>
      </c>
      <c r="C5" s="7" t="s">
        <v>71</v>
      </c>
      <c r="D5" s="7" t="s">
        <v>72</v>
      </c>
      <c r="E5" s="7" t="s">
        <v>73</v>
      </c>
      <c r="F5" s="7" t="s">
        <v>33</v>
      </c>
      <c r="G5" s="8">
        <v>2413.0259999999998</v>
      </c>
      <c r="H5" s="8">
        <v>950.23450000000003</v>
      </c>
      <c r="I5" s="8">
        <v>90</v>
      </c>
      <c r="J5" s="8">
        <v>1040.2345</v>
      </c>
      <c r="K5" s="8">
        <v>511.00000000000006</v>
      </c>
      <c r="L5" s="9">
        <v>1462.7914999999998</v>
      </c>
      <c r="M5" s="8">
        <v>950.23450000000003</v>
      </c>
      <c r="N5" s="8">
        <v>0</v>
      </c>
      <c r="O5" s="8" t="s">
        <v>74</v>
      </c>
      <c r="P5" s="10">
        <v>0.39379372621762054</v>
      </c>
      <c r="Q5" s="11" t="s">
        <v>75</v>
      </c>
      <c r="R5" s="11" t="s">
        <v>76</v>
      </c>
      <c r="S5" s="11" t="s">
        <v>77</v>
      </c>
      <c r="T5" s="11" t="s">
        <v>78</v>
      </c>
      <c r="U5" s="11" t="s">
        <v>79</v>
      </c>
      <c r="V5" s="11" t="s">
        <v>80</v>
      </c>
      <c r="W5" s="11" t="s">
        <v>81</v>
      </c>
      <c r="X5" s="11" t="s">
        <v>82</v>
      </c>
      <c r="Y5" s="11" t="s">
        <v>83</v>
      </c>
      <c r="Z5" s="12">
        <v>46062</v>
      </c>
      <c r="AA5" s="13">
        <v>0.38036140599024792</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0</v>
      </c>
      <c r="J6" s="8">
        <v>622.09375</v>
      </c>
      <c r="K6" s="8">
        <v>147</v>
      </c>
      <c r="L6" s="9">
        <v>643.60096999999996</v>
      </c>
      <c r="M6" s="8">
        <v>186.62812500000001</v>
      </c>
      <c r="N6" s="8">
        <v>0</v>
      </c>
      <c r="O6" s="8" t="s">
        <v>88</v>
      </c>
      <c r="P6" s="10">
        <v>0.49150378852808996</v>
      </c>
      <c r="Q6" s="11" t="s">
        <v>89</v>
      </c>
      <c r="R6" s="11" t="s">
        <v>90</v>
      </c>
      <c r="S6" s="11" t="s">
        <v>91</v>
      </c>
      <c r="T6" s="11" t="s">
        <v>92</v>
      </c>
      <c r="U6" s="11" t="s">
        <v>93</v>
      </c>
      <c r="V6" s="11" t="s">
        <v>94</v>
      </c>
      <c r="W6" s="11" t="s">
        <v>95</v>
      </c>
      <c r="X6" s="16" t="s">
        <v>96</v>
      </c>
      <c r="Y6" s="11" t="s">
        <v>97</v>
      </c>
      <c r="Z6" s="12">
        <v>46065</v>
      </c>
      <c r="AA6" s="13">
        <v>-1.2597295959545218</v>
      </c>
      <c r="AB6" s="13">
        <v>0.15352074241150571</v>
      </c>
      <c r="AC6" s="14" t="s">
        <v>86</v>
      </c>
      <c r="AD6" s="15" t="s">
        <v>98</v>
      </c>
    </row>
    <row r="7" spans="1:30" x14ac:dyDescent="0.25">
      <c r="A7" s="5">
        <v>6</v>
      </c>
      <c r="B7" s="6" t="s">
        <v>99</v>
      </c>
      <c r="C7" s="7" t="s">
        <v>100</v>
      </c>
      <c r="D7" s="7" t="s">
        <v>101</v>
      </c>
      <c r="E7" s="7" t="s">
        <v>32</v>
      </c>
      <c r="F7" s="7" t="s">
        <v>87</v>
      </c>
      <c r="G7" s="8">
        <v>2186.2800000000002</v>
      </c>
      <c r="H7" s="8">
        <v>676.2</v>
      </c>
      <c r="I7" s="8">
        <v>388</v>
      </c>
      <c r="J7" s="8">
        <v>1064.2</v>
      </c>
      <c r="K7" s="8">
        <v>135</v>
      </c>
      <c r="L7" s="9">
        <v>1510.0800000000002</v>
      </c>
      <c r="M7" s="8">
        <v>676.2</v>
      </c>
      <c r="N7" s="8">
        <v>245.49</v>
      </c>
      <c r="O7" s="8" t="s">
        <v>102</v>
      </c>
      <c r="P7" s="10">
        <v>0.3092924968439541</v>
      </c>
      <c r="Q7" s="11" t="s">
        <v>103</v>
      </c>
      <c r="R7" s="11" t="s">
        <v>104</v>
      </c>
      <c r="S7" s="11" t="s">
        <v>105</v>
      </c>
      <c r="T7" s="11" t="s">
        <v>106</v>
      </c>
      <c r="U7" s="11" t="s">
        <v>107</v>
      </c>
      <c r="V7" s="11" t="s">
        <v>108</v>
      </c>
      <c r="W7" s="11" t="s">
        <v>109</v>
      </c>
      <c r="X7" s="11" t="s">
        <v>110</v>
      </c>
      <c r="Y7" s="11" t="s">
        <v>111</v>
      </c>
      <c r="Z7" s="12">
        <v>46065</v>
      </c>
      <c r="AA7" s="13">
        <v>0.24146562849872755</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200.99999999999997</v>
      </c>
      <c r="J8" s="8">
        <v>832.65653049999992</v>
      </c>
      <c r="K8" s="8">
        <v>163</v>
      </c>
      <c r="L8" s="9">
        <v>974.42346950000001</v>
      </c>
      <c r="M8" s="8">
        <v>520.13092500000005</v>
      </c>
      <c r="N8" s="8">
        <v>0</v>
      </c>
      <c r="O8" s="8" t="s">
        <v>60</v>
      </c>
      <c r="P8" s="10">
        <v>0.39329082642209601</v>
      </c>
      <c r="Q8" s="11" t="s">
        <v>35</v>
      </c>
      <c r="R8" s="11" t="s">
        <v>116</v>
      </c>
      <c r="S8" s="11" t="s">
        <v>117</v>
      </c>
      <c r="T8" s="11" t="s">
        <v>118</v>
      </c>
      <c r="U8" s="11" t="s">
        <v>119</v>
      </c>
      <c r="V8" s="11" t="s">
        <v>120</v>
      </c>
      <c r="W8" s="11" t="s">
        <v>121</v>
      </c>
      <c r="X8" s="11" t="s">
        <v>122</v>
      </c>
      <c r="Y8" s="11" t="s">
        <v>123</v>
      </c>
      <c r="Z8" s="12">
        <v>46072</v>
      </c>
      <c r="AA8" s="13">
        <v>0.1842661259741768</v>
      </c>
      <c r="AB8" s="13">
        <v>0.10999999996973608</v>
      </c>
      <c r="AC8" s="14" t="s">
        <v>114</v>
      </c>
      <c r="AD8" s="15" t="s">
        <v>124</v>
      </c>
    </row>
    <row r="9" spans="1:30" x14ac:dyDescent="0.25">
      <c r="A9" s="5">
        <v>8</v>
      </c>
      <c r="B9" s="6" t="s">
        <v>125</v>
      </c>
      <c r="C9" s="7" t="s">
        <v>125</v>
      </c>
      <c r="D9" s="7" t="s">
        <v>125</v>
      </c>
      <c r="E9" s="7" t="s">
        <v>73</v>
      </c>
      <c r="F9" s="7" t="s">
        <v>126</v>
      </c>
      <c r="G9" s="8">
        <v>1372.5805700000001</v>
      </c>
      <c r="H9" s="8">
        <v>463.31861560000004</v>
      </c>
      <c r="I9" s="8">
        <v>34</v>
      </c>
      <c r="J9" s="8">
        <v>497.31861560000004</v>
      </c>
      <c r="K9" s="8">
        <v>194</v>
      </c>
      <c r="L9" s="9">
        <v>909.26195440000004</v>
      </c>
      <c r="M9" s="8">
        <v>107.50118679999999</v>
      </c>
      <c r="N9" s="8">
        <v>0</v>
      </c>
      <c r="O9" s="8" t="s">
        <v>127</v>
      </c>
      <c r="P9" s="10">
        <v>0.33755294641829298</v>
      </c>
      <c r="Q9" s="11" t="s">
        <v>128</v>
      </c>
      <c r="R9" s="11" t="s">
        <v>129</v>
      </c>
      <c r="S9" s="11" t="s">
        <v>130</v>
      </c>
      <c r="T9" s="11" t="s">
        <v>131</v>
      </c>
      <c r="U9" s="11" t="s">
        <v>132</v>
      </c>
      <c r="V9" s="11" t="s">
        <v>133</v>
      </c>
      <c r="W9" s="11" t="s">
        <v>134</v>
      </c>
      <c r="X9" s="11" t="s">
        <v>135</v>
      </c>
      <c r="Y9" s="11" t="s">
        <v>136</v>
      </c>
      <c r="Z9" s="12">
        <v>46071</v>
      </c>
      <c r="AA9" s="13">
        <v>0.11559792953217574</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890</v>
      </c>
      <c r="J10" s="8">
        <v>4702.5</v>
      </c>
      <c r="K10" s="8">
        <v>1043</v>
      </c>
      <c r="L10" s="9">
        <v>1525</v>
      </c>
      <c r="M10" s="8">
        <v>1143.75</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46065</v>
      </c>
      <c r="AA10" s="13">
        <v>0.30923010376191506</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321.20014670000012</v>
      </c>
      <c r="I11" s="8">
        <v>15</v>
      </c>
      <c r="J11" s="8">
        <v>336.20014670000012</v>
      </c>
      <c r="K11" s="8">
        <v>82</v>
      </c>
      <c r="L11" s="9">
        <v>359.49279829999989</v>
      </c>
      <c r="M11" s="8">
        <v>102.0954215</v>
      </c>
      <c r="N11" s="8">
        <v>8.0004816999999999</v>
      </c>
      <c r="O11" s="8" t="s">
        <v>153</v>
      </c>
      <c r="P11" s="10">
        <v>0.47187230168809829</v>
      </c>
      <c r="Q11" s="11" t="s">
        <v>35</v>
      </c>
      <c r="R11" s="11" t="s">
        <v>154</v>
      </c>
      <c r="S11" s="11" t="s">
        <v>37</v>
      </c>
      <c r="T11" s="11" t="s">
        <v>155</v>
      </c>
      <c r="U11" s="11" t="s">
        <v>156</v>
      </c>
      <c r="V11" s="11" t="s">
        <v>157</v>
      </c>
      <c r="W11" s="11" t="s">
        <v>158</v>
      </c>
      <c r="X11" s="11" t="s">
        <v>135</v>
      </c>
      <c r="Y11" s="11" t="s">
        <v>159</v>
      </c>
      <c r="Z11" s="12">
        <v>46065</v>
      </c>
      <c r="AA11" s="13">
        <v>0.42655362808351027</v>
      </c>
      <c r="AB11" s="13">
        <v>0.12040585230689282</v>
      </c>
      <c r="AC11" s="14" t="s">
        <v>150</v>
      </c>
      <c r="AD11" s="15" t="s">
        <v>160</v>
      </c>
    </row>
    <row r="12" spans="1:30" x14ac:dyDescent="0.25">
      <c r="A12" s="5">
        <v>11</v>
      </c>
      <c r="B12" s="6" t="s">
        <v>161</v>
      </c>
      <c r="C12" s="7" t="s">
        <v>162</v>
      </c>
      <c r="D12" s="7" t="s">
        <v>162</v>
      </c>
      <c r="E12" s="7" t="s">
        <v>73</v>
      </c>
      <c r="F12" s="7" t="s">
        <v>126</v>
      </c>
      <c r="G12" s="8">
        <v>1045.762712</v>
      </c>
      <c r="H12" s="8">
        <v>709.40253320000011</v>
      </c>
      <c r="I12" s="8">
        <v>0</v>
      </c>
      <c r="J12" s="8">
        <v>709.40253320000011</v>
      </c>
      <c r="K12" s="8">
        <v>0</v>
      </c>
      <c r="L12" s="9">
        <v>336.36017879999986</v>
      </c>
      <c r="M12" s="8">
        <v>-0.59409959999999995</v>
      </c>
      <c r="N12" s="8">
        <v>0</v>
      </c>
      <c r="O12" s="8" t="s">
        <v>163</v>
      </c>
      <c r="P12" s="10">
        <v>0.6783589862783328</v>
      </c>
      <c r="Q12" s="11" t="s">
        <v>164</v>
      </c>
      <c r="R12" s="11" t="s">
        <v>165</v>
      </c>
      <c r="S12" s="11" t="s">
        <v>166</v>
      </c>
      <c r="T12" s="11" t="s">
        <v>167</v>
      </c>
      <c r="U12" s="11" t="s">
        <v>168</v>
      </c>
      <c r="V12" s="11" t="s">
        <v>169</v>
      </c>
      <c r="W12" s="11" t="s">
        <v>170</v>
      </c>
      <c r="X12" s="11" t="s">
        <v>135</v>
      </c>
      <c r="Y12" s="11" t="s">
        <v>171</v>
      </c>
      <c r="Z12" s="12">
        <v>46066</v>
      </c>
      <c r="AA12" s="13" t="s">
        <v>172</v>
      </c>
      <c r="AB12" s="13">
        <v>0.18000000439604424</v>
      </c>
      <c r="AC12" s="14" t="s">
        <v>162</v>
      </c>
      <c r="AD12" s="15" t="s">
        <v>173</v>
      </c>
    </row>
    <row r="13" spans="1:30" x14ac:dyDescent="0.25">
      <c r="A13" s="5">
        <v>12</v>
      </c>
      <c r="B13" s="6" t="s">
        <v>174</v>
      </c>
      <c r="C13" s="7" t="s">
        <v>175</v>
      </c>
      <c r="D13" s="7" t="s">
        <v>174</v>
      </c>
      <c r="E13" s="7" t="s">
        <v>73</v>
      </c>
      <c r="F13" s="7" t="s">
        <v>126</v>
      </c>
      <c r="G13" s="8">
        <v>2019.8763390000001</v>
      </c>
      <c r="H13" s="8">
        <v>493.68378150000001</v>
      </c>
      <c r="I13" s="8">
        <v>0</v>
      </c>
      <c r="J13" s="8">
        <v>493.68378150000001</v>
      </c>
      <c r="K13" s="8">
        <v>0</v>
      </c>
      <c r="L13" s="9">
        <v>1526.1925575</v>
      </c>
      <c r="M13" s="8">
        <v>332.84704210000001</v>
      </c>
      <c r="N13" s="8">
        <v>86.215819299999993</v>
      </c>
      <c r="O13" s="8" t="s">
        <v>153</v>
      </c>
      <c r="P13" s="10">
        <v>0.24441287417843255</v>
      </c>
      <c r="Q13" s="11" t="s">
        <v>75</v>
      </c>
      <c r="R13" s="11" t="s">
        <v>176</v>
      </c>
      <c r="S13" s="11" t="s">
        <v>177</v>
      </c>
      <c r="T13" s="11" t="s">
        <v>178</v>
      </c>
      <c r="U13" s="11" t="s">
        <v>179</v>
      </c>
      <c r="V13" s="11" t="s">
        <v>180</v>
      </c>
      <c r="W13" s="11" t="s">
        <v>181</v>
      </c>
      <c r="X13" s="11" t="s">
        <v>135</v>
      </c>
      <c r="Y13" s="11" t="s">
        <v>182</v>
      </c>
      <c r="Z13" s="12">
        <v>46066</v>
      </c>
      <c r="AA13" s="13">
        <v>0.20464248769040694</v>
      </c>
      <c r="AB13" s="13">
        <v>0.2046391013686556</v>
      </c>
      <c r="AC13" s="14" t="s">
        <v>175</v>
      </c>
      <c r="AD13" s="15" t="s">
        <v>173</v>
      </c>
    </row>
    <row r="14" spans="1:30" x14ac:dyDescent="0.25">
      <c r="A14" s="5">
        <v>13</v>
      </c>
      <c r="B14" s="6" t="s">
        <v>183</v>
      </c>
      <c r="C14" s="7" t="s">
        <v>184</v>
      </c>
      <c r="D14" s="7" t="s">
        <v>185</v>
      </c>
      <c r="E14" s="7" t="s">
        <v>73</v>
      </c>
      <c r="F14" s="7" t="s">
        <v>126</v>
      </c>
      <c r="G14" s="8">
        <v>2903.04126</v>
      </c>
      <c r="H14" s="8">
        <v>1728.2472397000006</v>
      </c>
      <c r="I14" s="8">
        <v>0</v>
      </c>
      <c r="J14" s="8">
        <v>1728.2472397000006</v>
      </c>
      <c r="K14" s="8">
        <v>936.99999999999989</v>
      </c>
      <c r="L14" s="9">
        <v>1174.7940202999994</v>
      </c>
      <c r="M14" s="8">
        <v>61.03792</v>
      </c>
      <c r="N14" s="8">
        <v>0</v>
      </c>
      <c r="O14" s="8" t="s">
        <v>186</v>
      </c>
      <c r="P14" s="10">
        <v>0.59532300264309734</v>
      </c>
      <c r="Q14" s="11" t="s">
        <v>75</v>
      </c>
      <c r="R14" s="11" t="s">
        <v>187</v>
      </c>
      <c r="S14" s="11" t="s">
        <v>188</v>
      </c>
      <c r="T14" s="11" t="s">
        <v>189</v>
      </c>
      <c r="U14" s="11" t="s">
        <v>190</v>
      </c>
      <c r="V14" s="11" t="s">
        <v>191</v>
      </c>
      <c r="W14" s="11" t="s">
        <v>192</v>
      </c>
      <c r="X14" s="11" t="s">
        <v>135</v>
      </c>
      <c r="Y14" s="11" t="s">
        <v>193</v>
      </c>
      <c r="Z14" s="12">
        <v>46065</v>
      </c>
      <c r="AA14" s="13">
        <v>-0.73416857586234929</v>
      </c>
      <c r="AB14" s="13">
        <v>-0.204144834903355</v>
      </c>
      <c r="AC14" s="14" t="s">
        <v>184</v>
      </c>
      <c r="AD14" s="15" t="s">
        <v>194</v>
      </c>
    </row>
    <row r="15" spans="1:30" x14ac:dyDescent="0.25">
      <c r="A15" s="5">
        <v>14</v>
      </c>
      <c r="B15" s="6" t="s">
        <v>195</v>
      </c>
      <c r="C15" s="7" t="s">
        <v>196</v>
      </c>
      <c r="D15" s="7" t="s">
        <v>196</v>
      </c>
      <c r="E15" s="7" t="s">
        <v>73</v>
      </c>
      <c r="F15" s="7" t="s">
        <v>87</v>
      </c>
      <c r="G15" s="8">
        <v>1047.3630700000001</v>
      </c>
      <c r="H15" s="8">
        <v>162.96677500000001</v>
      </c>
      <c r="I15" s="8">
        <v>0</v>
      </c>
      <c r="J15" s="8">
        <v>162.96677500000001</v>
      </c>
      <c r="K15" s="8">
        <v>114.99999999999999</v>
      </c>
      <c r="L15" s="9">
        <v>884.39629500000012</v>
      </c>
      <c r="M15" s="8">
        <v>0</v>
      </c>
      <c r="N15" s="8">
        <v>0</v>
      </c>
      <c r="O15" s="8" t="s">
        <v>197</v>
      </c>
      <c r="P15" s="10">
        <v>0.15559721329490833</v>
      </c>
      <c r="Q15" s="11" t="s">
        <v>198</v>
      </c>
      <c r="R15" s="11" t="s">
        <v>199</v>
      </c>
      <c r="S15" s="11" t="s">
        <v>200</v>
      </c>
      <c r="T15" s="11" t="s">
        <v>201</v>
      </c>
      <c r="U15" s="11" t="s">
        <v>202</v>
      </c>
      <c r="V15" s="11" t="s">
        <v>203</v>
      </c>
      <c r="W15" s="11" t="s">
        <v>204</v>
      </c>
      <c r="X15" s="11" t="s">
        <v>205</v>
      </c>
      <c r="Y15" s="11" t="s">
        <v>206</v>
      </c>
      <c r="Z15" s="12">
        <v>46072</v>
      </c>
      <c r="AA15" s="13" t="s">
        <v>172</v>
      </c>
      <c r="AB15" s="13">
        <v>-9.5509698226650848</v>
      </c>
      <c r="AC15" s="14" t="s">
        <v>196</v>
      </c>
      <c r="AD15" s="15" t="s">
        <v>207</v>
      </c>
    </row>
    <row r="16" spans="1:30" x14ac:dyDescent="0.25">
      <c r="A16" s="5">
        <v>15</v>
      </c>
      <c r="B16" s="6" t="s">
        <v>208</v>
      </c>
      <c r="C16" s="7" t="s">
        <v>209</v>
      </c>
      <c r="D16" s="7" t="s">
        <v>208</v>
      </c>
      <c r="E16" s="7" t="s">
        <v>210</v>
      </c>
      <c r="F16" s="7" t="s">
        <v>126</v>
      </c>
      <c r="G16" s="8">
        <v>669.18430290000003</v>
      </c>
      <c r="H16" s="8">
        <v>662.96125290000009</v>
      </c>
      <c r="I16" s="8">
        <v>0</v>
      </c>
      <c r="J16" s="8">
        <v>662.96125290000009</v>
      </c>
      <c r="K16" s="8">
        <v>252.99999999999997</v>
      </c>
      <c r="L16" s="9">
        <v>6.2230499999999438</v>
      </c>
      <c r="M16" s="8">
        <v>347.80687999999998</v>
      </c>
      <c r="N16" s="8">
        <v>0</v>
      </c>
      <c r="O16" s="8" t="s">
        <v>211</v>
      </c>
      <c r="P16" s="10">
        <v>0.9907005439711728</v>
      </c>
      <c r="Q16" s="16" t="s">
        <v>212</v>
      </c>
      <c r="R16" s="11" t="s">
        <v>213</v>
      </c>
      <c r="S16" s="11" t="s">
        <v>214</v>
      </c>
      <c r="T16" s="11" t="s">
        <v>201</v>
      </c>
      <c r="U16" s="11" t="s">
        <v>215</v>
      </c>
      <c r="V16" s="11" t="s">
        <v>216</v>
      </c>
      <c r="W16" s="11" t="s">
        <v>217</v>
      </c>
      <c r="X16" s="11" t="s">
        <v>135</v>
      </c>
      <c r="Y16" s="11" t="s">
        <v>218</v>
      </c>
      <c r="Z16" s="12">
        <v>46072</v>
      </c>
      <c r="AA16" s="13">
        <v>0.74420388179613817</v>
      </c>
      <c r="AB16" s="13">
        <v>0.20000000003501683</v>
      </c>
      <c r="AC16" s="14" t="s">
        <v>209</v>
      </c>
      <c r="AD16" s="15" t="s">
        <v>219</v>
      </c>
    </row>
    <row r="17" spans="1:30" x14ac:dyDescent="0.25">
      <c r="A17" s="5">
        <v>16</v>
      </c>
      <c r="B17" s="6" t="s">
        <v>220</v>
      </c>
      <c r="C17" s="7" t="s">
        <v>221</v>
      </c>
      <c r="D17" s="7" t="s">
        <v>222</v>
      </c>
      <c r="E17" s="7" t="s">
        <v>73</v>
      </c>
      <c r="F17" s="7" t="s">
        <v>126</v>
      </c>
      <c r="G17" s="8">
        <v>218.58204000000001</v>
      </c>
      <c r="H17" s="8">
        <v>142.36976870000001</v>
      </c>
      <c r="I17" s="8">
        <v>71</v>
      </c>
      <c r="J17" s="8">
        <v>213.36976870000001</v>
      </c>
      <c r="K17" s="8">
        <v>186</v>
      </c>
      <c r="L17" s="9">
        <v>76.212271299999998</v>
      </c>
      <c r="M17" s="8">
        <v>142.36976870000001</v>
      </c>
      <c r="N17" s="8">
        <v>71.112023699999995</v>
      </c>
      <c r="O17" s="8" t="s">
        <v>223</v>
      </c>
      <c r="P17" s="10">
        <v>0.65133333324183451</v>
      </c>
      <c r="Q17" s="11" t="s">
        <v>35</v>
      </c>
      <c r="R17" s="11" t="s">
        <v>224</v>
      </c>
      <c r="S17" s="11" t="s">
        <v>225</v>
      </c>
      <c r="T17" s="11" t="s">
        <v>226</v>
      </c>
      <c r="U17" s="11" t="s">
        <v>227</v>
      </c>
      <c r="V17" s="11" t="s">
        <v>228</v>
      </c>
      <c r="W17" s="11" t="s">
        <v>229</v>
      </c>
      <c r="X17" s="11" t="s">
        <v>135</v>
      </c>
      <c r="Y17" s="11" t="s">
        <v>230</v>
      </c>
      <c r="Z17" s="12">
        <v>46072</v>
      </c>
      <c r="AA17" s="13">
        <v>1</v>
      </c>
      <c r="AB17" s="13" t="s">
        <v>172</v>
      </c>
      <c r="AC17" s="14" t="s">
        <v>221</v>
      </c>
      <c r="AD17" s="15" t="s">
        <v>231</v>
      </c>
    </row>
    <row r="18" spans="1:30" x14ac:dyDescent="0.25">
      <c r="A18" s="5">
        <v>17</v>
      </c>
      <c r="B18" s="6" t="s">
        <v>232</v>
      </c>
      <c r="C18" s="7" t="s">
        <v>233</v>
      </c>
      <c r="D18" s="7" t="s">
        <v>234</v>
      </c>
      <c r="E18" s="7" t="s">
        <v>73</v>
      </c>
      <c r="F18" s="7" t="s">
        <v>235</v>
      </c>
      <c r="G18" s="8">
        <v>171.31355932203391</v>
      </c>
      <c r="H18" s="8">
        <v>171.31355930000001</v>
      </c>
      <c r="I18" s="8">
        <v>0</v>
      </c>
      <c r="J18" s="8">
        <v>171.31355930000001</v>
      </c>
      <c r="K18" s="8">
        <v>51</v>
      </c>
      <c r="L18" s="9">
        <v>2.2033901814211276E-8</v>
      </c>
      <c r="M18" s="8">
        <v>171.31355930000001</v>
      </c>
      <c r="N18" s="8">
        <v>0</v>
      </c>
      <c r="O18" s="8" t="s">
        <v>236</v>
      </c>
      <c r="P18" s="10">
        <v>0.99999999987138266</v>
      </c>
      <c r="Q18" s="11" t="s">
        <v>237</v>
      </c>
      <c r="R18" s="11" t="s">
        <v>238</v>
      </c>
      <c r="S18" s="11" t="s">
        <v>239</v>
      </c>
      <c r="T18" s="11" t="s">
        <v>240</v>
      </c>
      <c r="U18" s="33" t="s">
        <v>400</v>
      </c>
      <c r="V18" s="11" t="s">
        <v>241</v>
      </c>
      <c r="W18" s="11" t="s">
        <v>242</v>
      </c>
      <c r="X18" s="11" t="s">
        <v>243</v>
      </c>
      <c r="Y18" s="11" t="s">
        <v>244</v>
      </c>
      <c r="Z18" s="12">
        <v>46072</v>
      </c>
      <c r="AA18" s="13">
        <v>0.21799999984005936</v>
      </c>
      <c r="AB18" s="13" t="s">
        <v>172</v>
      </c>
      <c r="AC18" s="14" t="s">
        <v>233</v>
      </c>
      <c r="AD18" s="15" t="s">
        <v>245</v>
      </c>
    </row>
    <row r="19" spans="1:30" x14ac:dyDescent="0.25">
      <c r="A19" s="5">
        <v>18</v>
      </c>
      <c r="B19" s="6" t="s">
        <v>246</v>
      </c>
      <c r="C19" s="7" t="s">
        <v>247</v>
      </c>
      <c r="D19" s="7" t="s">
        <v>248</v>
      </c>
      <c r="E19" s="7" t="s">
        <v>32</v>
      </c>
      <c r="F19" s="7" t="s">
        <v>87</v>
      </c>
      <c r="G19" s="8">
        <v>111.36</v>
      </c>
      <c r="H19" s="8">
        <v>55.68</v>
      </c>
      <c r="I19" s="8">
        <v>0</v>
      </c>
      <c r="J19" s="8">
        <v>55.68</v>
      </c>
      <c r="K19" s="8">
        <v>0</v>
      </c>
      <c r="L19" s="9">
        <v>55.68</v>
      </c>
      <c r="M19" s="8">
        <v>55.68</v>
      </c>
      <c r="N19" s="8">
        <v>22.271999999999998</v>
      </c>
      <c r="O19" s="8" t="s">
        <v>249</v>
      </c>
      <c r="P19" s="10">
        <v>0.5</v>
      </c>
      <c r="Q19" s="11" t="s">
        <v>250</v>
      </c>
      <c r="R19" s="11" t="s">
        <v>251</v>
      </c>
      <c r="S19" s="11" t="s">
        <v>252</v>
      </c>
      <c r="T19" s="11" t="s">
        <v>253</v>
      </c>
      <c r="U19" s="11" t="s">
        <v>254</v>
      </c>
      <c r="V19" s="11" t="s">
        <v>255</v>
      </c>
      <c r="W19" s="11" t="s">
        <v>256</v>
      </c>
      <c r="X19" s="11" t="s">
        <v>257</v>
      </c>
      <c r="Y19" s="11" t="s">
        <v>258</v>
      </c>
      <c r="Z19" s="12">
        <v>46072</v>
      </c>
      <c r="AA19" s="13">
        <v>0.37134548199533057</v>
      </c>
      <c r="AB19" s="13" t="s">
        <v>172</v>
      </c>
      <c r="AC19" s="14" t="s">
        <v>247</v>
      </c>
      <c r="AD19" s="15" t="s">
        <v>98</v>
      </c>
    </row>
    <row r="20" spans="1:30" x14ac:dyDescent="0.25">
      <c r="A20" s="5">
        <v>19</v>
      </c>
      <c r="B20" s="6" t="s">
        <v>259</v>
      </c>
      <c r="C20" s="7" t="s">
        <v>259</v>
      </c>
      <c r="D20" s="7" t="s">
        <v>260</v>
      </c>
      <c r="E20" s="7" t="s">
        <v>32</v>
      </c>
      <c r="F20" s="7" t="s">
        <v>87</v>
      </c>
      <c r="G20" s="8">
        <v>218.28</v>
      </c>
      <c r="H20" s="8">
        <v>65.483999999999995</v>
      </c>
      <c r="I20" s="8">
        <v>0</v>
      </c>
      <c r="J20" s="8">
        <v>65.483999999999995</v>
      </c>
      <c r="K20" s="8">
        <v>0</v>
      </c>
      <c r="L20" s="9">
        <v>152.79599999999999</v>
      </c>
      <c r="M20" s="8">
        <v>65.483999999999995</v>
      </c>
      <c r="N20" s="8">
        <v>43.655999999999999</v>
      </c>
      <c r="O20" s="17" t="s">
        <v>261</v>
      </c>
      <c r="P20" s="10">
        <v>0.3</v>
      </c>
      <c r="Q20" s="11" t="s">
        <v>135</v>
      </c>
      <c r="R20" s="11" t="s">
        <v>262</v>
      </c>
      <c r="S20" s="11" t="s">
        <v>263</v>
      </c>
      <c r="T20" s="11" t="s">
        <v>135</v>
      </c>
      <c r="U20" s="11" t="s">
        <v>264</v>
      </c>
      <c r="V20" s="11" t="s">
        <v>265</v>
      </c>
      <c r="W20" s="11" t="s">
        <v>266</v>
      </c>
      <c r="X20" s="11">
        <v>0</v>
      </c>
      <c r="Y20" s="11">
        <v>0</v>
      </c>
      <c r="Z20" s="12">
        <v>46072</v>
      </c>
      <c r="AA20" s="13">
        <v>0.38003457302547183</v>
      </c>
      <c r="AB20" s="13" t="s">
        <v>172</v>
      </c>
      <c r="AC20" s="14" t="s">
        <v>259</v>
      </c>
      <c r="AD20" s="15" t="s">
        <v>267</v>
      </c>
    </row>
    <row r="21" spans="1:30" x14ac:dyDescent="0.25">
      <c r="A21" s="5">
        <v>20</v>
      </c>
      <c r="B21" s="6" t="s">
        <v>268</v>
      </c>
      <c r="C21" s="7" t="s">
        <v>269</v>
      </c>
      <c r="D21" s="7" t="s">
        <v>270</v>
      </c>
      <c r="E21" s="7" t="s">
        <v>32</v>
      </c>
      <c r="F21" s="7" t="s">
        <v>33</v>
      </c>
      <c r="G21" s="8">
        <v>509.88</v>
      </c>
      <c r="H21" s="8">
        <v>29.608499999999999</v>
      </c>
      <c r="I21" s="8">
        <v>9</v>
      </c>
      <c r="J21" s="8">
        <v>38.608499999999999</v>
      </c>
      <c r="K21" s="8">
        <v>35</v>
      </c>
      <c r="L21" s="9">
        <v>480.2715</v>
      </c>
      <c r="M21" s="8">
        <v>29.608499999999999</v>
      </c>
      <c r="N21" s="8">
        <v>0</v>
      </c>
      <c r="O21" s="8" t="s">
        <v>271</v>
      </c>
      <c r="P21" s="10">
        <v>5.8069545775476579E-2</v>
      </c>
      <c r="Q21" s="11" t="s">
        <v>35</v>
      </c>
      <c r="R21" s="11" t="s">
        <v>272</v>
      </c>
      <c r="S21" s="11" t="s">
        <v>273</v>
      </c>
      <c r="T21" s="11" t="s">
        <v>274</v>
      </c>
      <c r="U21" s="11" t="s">
        <v>275</v>
      </c>
      <c r="V21" s="11" t="s">
        <v>276</v>
      </c>
      <c r="W21" s="11" t="s">
        <v>277</v>
      </c>
      <c r="X21" s="11" t="s">
        <v>278</v>
      </c>
      <c r="Y21" s="11" t="s">
        <v>279</v>
      </c>
      <c r="Z21" s="12">
        <v>46071</v>
      </c>
      <c r="AA21" s="13">
        <v>0.26149387626716003</v>
      </c>
      <c r="AB21" s="13" t="s">
        <v>172</v>
      </c>
      <c r="AC21" s="14" t="s">
        <v>269</v>
      </c>
      <c r="AD21" s="15" t="s">
        <v>280</v>
      </c>
    </row>
    <row r="22" spans="1:30" x14ac:dyDescent="0.25">
      <c r="A22" s="5">
        <v>21</v>
      </c>
      <c r="B22" s="6" t="s">
        <v>281</v>
      </c>
      <c r="C22" s="7" t="s">
        <v>282</v>
      </c>
      <c r="D22" s="7" t="s">
        <v>283</v>
      </c>
      <c r="E22" s="7" t="s">
        <v>73</v>
      </c>
      <c r="F22" s="7"/>
      <c r="G22" s="8">
        <v>0</v>
      </c>
      <c r="H22" s="8">
        <v>0</v>
      </c>
      <c r="I22" s="8">
        <v>0</v>
      </c>
      <c r="J22" s="8">
        <v>0</v>
      </c>
      <c r="K22" s="8">
        <v>0</v>
      </c>
      <c r="L22" s="9">
        <v>0</v>
      </c>
      <c r="M22" s="8">
        <v>0</v>
      </c>
      <c r="N22" s="8">
        <v>0</v>
      </c>
      <c r="O22" s="8" t="s">
        <v>284</v>
      </c>
      <c r="P22" s="10">
        <v>0</v>
      </c>
      <c r="Q22" s="11">
        <v>0</v>
      </c>
      <c r="R22" s="11" t="s">
        <v>285</v>
      </c>
      <c r="S22" s="11" t="s">
        <v>135</v>
      </c>
      <c r="T22" s="11" t="s">
        <v>286</v>
      </c>
      <c r="U22" s="11" t="s">
        <v>287</v>
      </c>
      <c r="V22" s="11" t="s">
        <v>288</v>
      </c>
      <c r="W22" s="11" t="s">
        <v>289</v>
      </c>
      <c r="X22" s="11" t="s">
        <v>135</v>
      </c>
      <c r="Y22" s="11" t="s">
        <v>290</v>
      </c>
      <c r="Z22" s="12">
        <v>45925</v>
      </c>
      <c r="AA22" s="13" t="s">
        <v>172</v>
      </c>
      <c r="AB22" s="13" t="s">
        <v>172</v>
      </c>
      <c r="AC22" s="14" t="s">
        <v>282</v>
      </c>
      <c r="AD22" s="15" t="s">
        <v>291</v>
      </c>
    </row>
    <row r="23" spans="1:30" x14ac:dyDescent="0.25">
      <c r="A23" s="5">
        <v>22</v>
      </c>
      <c r="B23" s="6" t="s">
        <v>292</v>
      </c>
      <c r="C23" s="7" t="s">
        <v>293</v>
      </c>
      <c r="D23" s="7" t="s">
        <v>294</v>
      </c>
      <c r="E23" s="7" t="s">
        <v>151</v>
      </c>
      <c r="F23" s="7" t="s">
        <v>152</v>
      </c>
      <c r="G23" s="8">
        <v>6660.9289406779662</v>
      </c>
      <c r="H23" s="8">
        <v>6305.3207339000001</v>
      </c>
      <c r="I23" s="8">
        <v>0</v>
      </c>
      <c r="J23" s="8">
        <v>6305.3207339000001</v>
      </c>
      <c r="K23" s="8">
        <v>0</v>
      </c>
      <c r="L23" s="9">
        <v>355.60820677796619</v>
      </c>
      <c r="M23" s="8">
        <v>253.35620840000004</v>
      </c>
      <c r="N23" s="8">
        <v>0</v>
      </c>
      <c r="O23" s="8" t="s">
        <v>295</v>
      </c>
      <c r="P23" s="10">
        <v>0.9466128208324992</v>
      </c>
      <c r="Q23" s="11" t="s">
        <v>75</v>
      </c>
      <c r="R23" s="11" t="s">
        <v>296</v>
      </c>
      <c r="S23" s="11" t="s">
        <v>263</v>
      </c>
      <c r="T23" s="11" t="s">
        <v>297</v>
      </c>
      <c r="U23" s="11" t="s">
        <v>298</v>
      </c>
      <c r="V23" s="11" t="s">
        <v>299</v>
      </c>
      <c r="W23" s="11" t="s">
        <v>300</v>
      </c>
      <c r="X23" s="11" t="s">
        <v>301</v>
      </c>
      <c r="Y23" s="11" t="s">
        <v>302</v>
      </c>
      <c r="Z23" s="12">
        <v>46072</v>
      </c>
      <c r="AA23" s="13">
        <v>0.30380345714776924</v>
      </c>
      <c r="AB23" s="13">
        <v>4.7055080021901952E-2</v>
      </c>
      <c r="AC23" s="14" t="e">
        <v>#N/A</v>
      </c>
      <c r="AD23" s="15" t="s">
        <v>303</v>
      </c>
    </row>
    <row r="24" spans="1:30" x14ac:dyDescent="0.25">
      <c r="A24" s="5">
        <v>23</v>
      </c>
      <c r="B24" s="6" t="s">
        <v>304</v>
      </c>
      <c r="C24" s="7" t="s">
        <v>305</v>
      </c>
      <c r="D24" s="7" t="s">
        <v>305</v>
      </c>
      <c r="E24" s="7" t="s">
        <v>210</v>
      </c>
      <c r="F24" s="7" t="s">
        <v>126</v>
      </c>
      <c r="G24" s="8">
        <v>360.9787</v>
      </c>
      <c r="H24" s="8">
        <v>126.342545</v>
      </c>
      <c r="I24" s="8">
        <v>0</v>
      </c>
      <c r="J24" s="8">
        <v>126.342545</v>
      </c>
      <c r="K24" s="8">
        <v>0</v>
      </c>
      <c r="L24" s="9">
        <v>234.636155</v>
      </c>
      <c r="M24" s="8">
        <v>90.244675000000001</v>
      </c>
      <c r="N24" s="8">
        <v>0</v>
      </c>
      <c r="O24" s="8" t="s">
        <v>306</v>
      </c>
      <c r="P24" s="10">
        <v>0.35</v>
      </c>
      <c r="Q24" s="11" t="s">
        <v>75</v>
      </c>
      <c r="R24" s="11" t="s">
        <v>307</v>
      </c>
      <c r="S24" s="11" t="s">
        <v>308</v>
      </c>
      <c r="T24" s="11" t="s">
        <v>309</v>
      </c>
      <c r="U24" s="16" t="s">
        <v>310</v>
      </c>
      <c r="V24" s="11" t="s">
        <v>311</v>
      </c>
      <c r="W24" s="11" t="s">
        <v>312</v>
      </c>
      <c r="X24" s="11" t="s">
        <v>301</v>
      </c>
      <c r="Y24" s="11" t="s">
        <v>313</v>
      </c>
      <c r="Z24" s="12">
        <v>46072</v>
      </c>
      <c r="AA24" s="13">
        <v>-0.44596352265617489</v>
      </c>
      <c r="AB24" s="13">
        <v>0.42701644292272078</v>
      </c>
      <c r="AC24" s="14" t="e">
        <v>#N/A</v>
      </c>
      <c r="AD24" s="15" t="s">
        <v>219</v>
      </c>
    </row>
    <row r="25" spans="1:30" x14ac:dyDescent="0.25">
      <c r="A25" s="5">
        <v>24</v>
      </c>
      <c r="B25" s="6" t="s">
        <v>314</v>
      </c>
      <c r="C25" s="7" t="s">
        <v>315</v>
      </c>
      <c r="D25" s="7" t="s">
        <v>315</v>
      </c>
      <c r="E25" s="7" t="s">
        <v>210</v>
      </c>
      <c r="F25" s="7" t="s">
        <v>126</v>
      </c>
      <c r="G25" s="8">
        <v>352.65960000000001</v>
      </c>
      <c r="H25" s="8">
        <v>158.69682</v>
      </c>
      <c r="I25" s="8">
        <v>0</v>
      </c>
      <c r="J25" s="8">
        <v>158.69682</v>
      </c>
      <c r="K25" s="8">
        <v>0</v>
      </c>
      <c r="L25" s="9">
        <v>193.96278000000001</v>
      </c>
      <c r="M25" s="8">
        <v>52.898940000000003</v>
      </c>
      <c r="N25" s="8">
        <v>0</v>
      </c>
      <c r="O25" s="8" t="s">
        <v>306</v>
      </c>
      <c r="P25" s="10">
        <v>0.45</v>
      </c>
      <c r="Q25" s="11" t="s">
        <v>75</v>
      </c>
      <c r="R25" s="11" t="s">
        <v>316</v>
      </c>
      <c r="S25" s="11" t="s">
        <v>308</v>
      </c>
      <c r="T25" s="11" t="s">
        <v>317</v>
      </c>
      <c r="U25" s="16" t="s">
        <v>318</v>
      </c>
      <c r="V25" s="11" t="s">
        <v>319</v>
      </c>
      <c r="W25" s="11" t="s">
        <v>320</v>
      </c>
      <c r="X25" s="11" t="s">
        <v>301</v>
      </c>
      <c r="Y25" s="11" t="s">
        <v>321</v>
      </c>
      <c r="Z25" s="12">
        <v>46065</v>
      </c>
      <c r="AA25" s="13">
        <v>0.24873880506868384</v>
      </c>
      <c r="AB25" s="13">
        <v>0.67739458815242792</v>
      </c>
      <c r="AC25" s="14" t="e">
        <v>#N/A</v>
      </c>
      <c r="AD25" s="15" t="s">
        <v>219</v>
      </c>
    </row>
    <row r="26" spans="1:30" x14ac:dyDescent="0.25">
      <c r="A26" s="5">
        <v>25</v>
      </c>
      <c r="B26" s="6" t="s">
        <v>322</v>
      </c>
      <c r="C26" s="7" t="s">
        <v>323</v>
      </c>
      <c r="D26" s="7" t="s">
        <v>324</v>
      </c>
      <c r="E26" s="7" t="s">
        <v>210</v>
      </c>
      <c r="F26" s="7" t="s">
        <v>235</v>
      </c>
      <c r="G26" s="8">
        <v>1275.816245</v>
      </c>
      <c r="H26" s="8">
        <v>1073.2477387000006</v>
      </c>
      <c r="I26" s="8">
        <v>0</v>
      </c>
      <c r="J26" s="8">
        <v>1073.2477387000006</v>
      </c>
      <c r="K26" s="8">
        <v>0</v>
      </c>
      <c r="L26" s="9">
        <v>202.5685062999994</v>
      </c>
      <c r="M26" s="8">
        <v>0</v>
      </c>
      <c r="N26" s="8">
        <v>0</v>
      </c>
      <c r="O26" s="8" t="s">
        <v>306</v>
      </c>
      <c r="P26" s="10">
        <v>0.84122438705896918</v>
      </c>
      <c r="Q26" s="11" t="s">
        <v>301</v>
      </c>
      <c r="R26" s="11" t="s">
        <v>325</v>
      </c>
      <c r="S26" s="11" t="s">
        <v>214</v>
      </c>
      <c r="T26" s="11" t="s">
        <v>326</v>
      </c>
      <c r="U26" s="16" t="s">
        <v>327</v>
      </c>
      <c r="V26" s="11" t="s">
        <v>328</v>
      </c>
      <c r="W26" s="11" t="s">
        <v>329</v>
      </c>
      <c r="X26" s="11" t="s">
        <v>301</v>
      </c>
      <c r="Y26" s="11" t="s">
        <v>330</v>
      </c>
      <c r="Z26" s="12">
        <v>46065</v>
      </c>
      <c r="AA26" s="13">
        <v>0.69071178868136918</v>
      </c>
      <c r="AB26" s="13">
        <v>0.51174435922491024</v>
      </c>
      <c r="AC26" s="14" t="e">
        <v>#N/A</v>
      </c>
      <c r="AD26" s="15" t="s">
        <v>219</v>
      </c>
    </row>
    <row r="27" spans="1:30" x14ac:dyDescent="0.25">
      <c r="A27" s="5">
        <v>26</v>
      </c>
      <c r="B27" s="6" t="s">
        <v>331</v>
      </c>
      <c r="C27" s="7" t="s">
        <v>332</v>
      </c>
      <c r="D27" s="7" t="s">
        <v>332</v>
      </c>
      <c r="E27" s="7" t="s">
        <v>73</v>
      </c>
      <c r="F27" s="7" t="s">
        <v>126</v>
      </c>
      <c r="G27" s="8">
        <v>0</v>
      </c>
      <c r="H27" s="8">
        <v>0</v>
      </c>
      <c r="I27" s="8">
        <v>0</v>
      </c>
      <c r="J27" s="8">
        <v>0</v>
      </c>
      <c r="K27" s="8">
        <v>0</v>
      </c>
      <c r="L27" s="9">
        <v>0</v>
      </c>
      <c r="M27" s="8">
        <v>0</v>
      </c>
      <c r="N27" s="8">
        <v>0</v>
      </c>
      <c r="O27" s="8" t="s">
        <v>301</v>
      </c>
      <c r="P27" s="10">
        <v>0</v>
      </c>
      <c r="Q27" s="11" t="s">
        <v>301</v>
      </c>
      <c r="R27" s="11" t="s">
        <v>301</v>
      </c>
      <c r="S27" s="11" t="s">
        <v>214</v>
      </c>
      <c r="T27" s="11" t="s">
        <v>301</v>
      </c>
      <c r="U27" s="11" t="s">
        <v>301</v>
      </c>
      <c r="V27" s="11" t="s">
        <v>333</v>
      </c>
      <c r="W27" s="11" t="s">
        <v>334</v>
      </c>
      <c r="X27" s="11" t="s">
        <v>301</v>
      </c>
      <c r="Y27" s="11" t="s">
        <v>335</v>
      </c>
      <c r="Z27" s="12">
        <v>45982</v>
      </c>
      <c r="AA27" s="13" t="s">
        <v>172</v>
      </c>
      <c r="AB27" s="13" t="s">
        <v>172</v>
      </c>
      <c r="AC27" s="14" t="e">
        <v>#N/A</v>
      </c>
      <c r="AD27" s="15" t="s">
        <v>336</v>
      </c>
    </row>
    <row r="28" spans="1:30" x14ac:dyDescent="0.25">
      <c r="A28" s="5">
        <v>27</v>
      </c>
      <c r="B28" s="6" t="s">
        <v>337</v>
      </c>
      <c r="C28" s="7" t="s">
        <v>338</v>
      </c>
      <c r="D28" s="7" t="s">
        <v>338</v>
      </c>
      <c r="E28" s="7" t="s">
        <v>73</v>
      </c>
      <c r="F28" s="7" t="s">
        <v>126</v>
      </c>
      <c r="G28" s="8">
        <v>108.12905000000001</v>
      </c>
      <c r="H28" s="8">
        <v>10.812905000000001</v>
      </c>
      <c r="I28" s="8">
        <v>0</v>
      </c>
      <c r="J28" s="8">
        <v>10.812905000000001</v>
      </c>
      <c r="K28" s="8">
        <v>0</v>
      </c>
      <c r="L28" s="9">
        <v>97.316145000000006</v>
      </c>
      <c r="M28" s="8">
        <v>0</v>
      </c>
      <c r="N28" s="8">
        <v>0</v>
      </c>
      <c r="O28" s="8" t="s">
        <v>301</v>
      </c>
      <c r="P28" s="10">
        <v>0.1</v>
      </c>
      <c r="Q28" s="11" t="s">
        <v>301</v>
      </c>
      <c r="R28" s="11" t="s">
        <v>301</v>
      </c>
      <c r="S28" s="11" t="s">
        <v>214</v>
      </c>
      <c r="T28" s="11" t="s">
        <v>301</v>
      </c>
      <c r="U28" s="16" t="s">
        <v>339</v>
      </c>
      <c r="V28" s="11" t="s">
        <v>340</v>
      </c>
      <c r="W28" s="11" t="s">
        <v>341</v>
      </c>
      <c r="X28" s="11" t="s">
        <v>301</v>
      </c>
      <c r="Y28" s="11" t="s">
        <v>342</v>
      </c>
      <c r="Z28" s="12">
        <v>46066</v>
      </c>
      <c r="AA28" s="13" t="s">
        <v>172</v>
      </c>
      <c r="AB28" s="13" t="s">
        <v>172</v>
      </c>
      <c r="AC28" s="14" t="e">
        <v>#N/A</v>
      </c>
      <c r="AD28" s="15" t="s">
        <v>343</v>
      </c>
    </row>
    <row r="29" spans="1:30" x14ac:dyDescent="0.25">
      <c r="A29" s="5">
        <v>28</v>
      </c>
      <c r="B29" s="6" t="s">
        <v>344</v>
      </c>
      <c r="C29" s="7" t="s">
        <v>345</v>
      </c>
      <c r="D29" s="7" t="s">
        <v>346</v>
      </c>
      <c r="E29" s="7" t="s">
        <v>73</v>
      </c>
      <c r="F29" s="7" t="s">
        <v>87</v>
      </c>
      <c r="G29" s="8">
        <v>1640</v>
      </c>
      <c r="H29" s="8">
        <v>0</v>
      </c>
      <c r="I29" s="8">
        <v>0</v>
      </c>
      <c r="J29" s="8">
        <v>0</v>
      </c>
      <c r="K29" s="8">
        <v>0</v>
      </c>
      <c r="L29" s="9">
        <v>1640</v>
      </c>
      <c r="M29" s="8">
        <v>0</v>
      </c>
      <c r="N29" s="8">
        <v>0</v>
      </c>
      <c r="O29" s="18" t="s">
        <v>347</v>
      </c>
      <c r="P29" s="10">
        <v>0</v>
      </c>
      <c r="Q29" s="11" t="s">
        <v>348</v>
      </c>
      <c r="R29" s="11" t="s">
        <v>349</v>
      </c>
      <c r="S29" s="11" t="s">
        <v>350</v>
      </c>
      <c r="T29" s="11" t="s">
        <v>351</v>
      </c>
      <c r="U29" s="16" t="s">
        <v>352</v>
      </c>
      <c r="V29" s="11" t="s">
        <v>353</v>
      </c>
      <c r="W29" s="11" t="s">
        <v>354</v>
      </c>
      <c r="X29" s="11" t="s">
        <v>355</v>
      </c>
      <c r="Y29" s="11" t="s">
        <v>356</v>
      </c>
      <c r="Z29" s="12">
        <v>46072</v>
      </c>
      <c r="AA29" s="13" t="s">
        <v>172</v>
      </c>
      <c r="AB29" s="13" t="s">
        <v>172</v>
      </c>
      <c r="AC29" s="14" t="s">
        <v>345</v>
      </c>
      <c r="AD29" s="15" t="s">
        <v>357</v>
      </c>
    </row>
    <row r="30" spans="1:30" x14ac:dyDescent="0.25">
      <c r="A30" s="5">
        <v>29</v>
      </c>
      <c r="B30" s="7" t="s">
        <v>358</v>
      </c>
      <c r="C30" s="19" t="s">
        <v>359</v>
      </c>
      <c r="D30" s="19" t="s">
        <v>360</v>
      </c>
      <c r="E30" s="6" t="s">
        <v>32</v>
      </c>
      <c r="F30" s="7" t="s">
        <v>361</v>
      </c>
      <c r="G30" s="8">
        <v>809.07864406779663</v>
      </c>
      <c r="H30" s="8">
        <v>248.64224120000006</v>
      </c>
      <c r="I30" s="8">
        <v>4</v>
      </c>
      <c r="J30" s="8">
        <v>252.64224120000006</v>
      </c>
      <c r="K30" s="8">
        <v>38</v>
      </c>
      <c r="L30" s="9">
        <v>560.43640286779657</v>
      </c>
      <c r="M30" s="8">
        <v>128.72017390000008</v>
      </c>
      <c r="N30" s="8">
        <v>-3.9563942999999999</v>
      </c>
      <c r="O30" s="8" t="s">
        <v>102</v>
      </c>
      <c r="P30" s="10">
        <v>0.30731529378887562</v>
      </c>
      <c r="Q30" s="11" t="s">
        <v>35</v>
      </c>
      <c r="R30" s="11" t="s">
        <v>362</v>
      </c>
      <c r="S30" s="11" t="e">
        <v>#N/A</v>
      </c>
      <c r="T30" s="11" t="s">
        <v>363</v>
      </c>
      <c r="U30" s="16" t="s">
        <v>364</v>
      </c>
      <c r="V30" s="11" t="s">
        <v>401</v>
      </c>
      <c r="W30" s="11" t="s">
        <v>401</v>
      </c>
      <c r="X30" s="11" t="s">
        <v>301</v>
      </c>
      <c r="Y30" s="11" t="s">
        <v>401</v>
      </c>
      <c r="Z30" s="12">
        <v>0</v>
      </c>
      <c r="AA30" s="13">
        <v>0.25016494967847702</v>
      </c>
      <c r="AB30" s="13">
        <v>0.53564420356445086</v>
      </c>
      <c r="AC30" s="14" t="s">
        <v>359</v>
      </c>
      <c r="AD30" s="15" t="s">
        <v>365</v>
      </c>
    </row>
    <row r="31" spans="1:30" x14ac:dyDescent="0.25">
      <c r="A31" s="5">
        <v>30</v>
      </c>
      <c r="B31" s="7" t="s">
        <v>366</v>
      </c>
      <c r="C31" s="19" t="s">
        <v>367</v>
      </c>
      <c r="D31" s="19" t="s">
        <v>368</v>
      </c>
      <c r="E31" s="6" t="s">
        <v>73</v>
      </c>
      <c r="F31" s="7" t="s">
        <v>126</v>
      </c>
      <c r="G31" s="8">
        <v>643.5</v>
      </c>
      <c r="H31" s="8">
        <v>0</v>
      </c>
      <c r="I31" s="8">
        <v>0</v>
      </c>
      <c r="J31" s="8">
        <v>0</v>
      </c>
      <c r="K31" s="8">
        <v>0</v>
      </c>
      <c r="L31" s="9">
        <v>643.5</v>
      </c>
      <c r="M31" s="8">
        <v>0</v>
      </c>
      <c r="N31" s="8">
        <v>0</v>
      </c>
      <c r="O31" s="8" t="s">
        <v>369</v>
      </c>
      <c r="P31" s="10">
        <v>0</v>
      </c>
      <c r="Q31" s="16" t="s">
        <v>370</v>
      </c>
      <c r="R31" s="11" t="s">
        <v>371</v>
      </c>
      <c r="S31" s="11" t="s">
        <v>372</v>
      </c>
      <c r="T31" s="11" t="s">
        <v>373</v>
      </c>
      <c r="U31" s="16" t="s">
        <v>374</v>
      </c>
      <c r="V31" s="11" t="s">
        <v>375</v>
      </c>
      <c r="W31" s="11" t="s">
        <v>376</v>
      </c>
      <c r="X31" s="11" t="s">
        <v>301</v>
      </c>
      <c r="Y31" s="11" t="s">
        <v>377</v>
      </c>
      <c r="Z31" s="12">
        <v>46066</v>
      </c>
      <c r="AA31" s="13" t="s">
        <v>172</v>
      </c>
      <c r="AB31" s="13" t="s">
        <v>172</v>
      </c>
      <c r="AC31" s="14" t="s">
        <v>367</v>
      </c>
      <c r="AD31" s="15" t="s">
        <v>173</v>
      </c>
    </row>
    <row r="32" spans="1:30" x14ac:dyDescent="0.25">
      <c r="A32" s="5">
        <v>31</v>
      </c>
      <c r="B32" s="7" t="s">
        <v>378</v>
      </c>
      <c r="C32" s="19" t="s">
        <v>379</v>
      </c>
      <c r="D32" s="19" t="s">
        <v>380</v>
      </c>
      <c r="E32" s="6" t="s">
        <v>73</v>
      </c>
      <c r="F32" s="7" t="s">
        <v>126</v>
      </c>
      <c r="G32" s="8">
        <v>96.595439999999996</v>
      </c>
      <c r="H32" s="8">
        <v>0</v>
      </c>
      <c r="I32" s="8">
        <v>0</v>
      </c>
      <c r="J32" s="8">
        <v>0</v>
      </c>
      <c r="K32" s="8">
        <v>0</v>
      </c>
      <c r="L32" s="9">
        <v>96.595439999999996</v>
      </c>
      <c r="M32" s="8">
        <v>0</v>
      </c>
      <c r="N32" s="8">
        <v>0</v>
      </c>
      <c r="O32" s="8" t="s">
        <v>381</v>
      </c>
      <c r="P32" s="10">
        <v>0</v>
      </c>
      <c r="Q32" s="11" t="s">
        <v>301</v>
      </c>
      <c r="R32" s="11" t="s">
        <v>382</v>
      </c>
      <c r="S32" s="11" t="s">
        <v>214</v>
      </c>
      <c r="T32" s="11" t="s">
        <v>301</v>
      </c>
      <c r="U32" s="16" t="s">
        <v>383</v>
      </c>
      <c r="V32" s="11" t="s">
        <v>384</v>
      </c>
      <c r="W32" s="11" t="s">
        <v>385</v>
      </c>
      <c r="X32" s="11" t="s">
        <v>301</v>
      </c>
      <c r="Y32" s="11" t="s">
        <v>386</v>
      </c>
      <c r="Z32" s="12">
        <v>46066</v>
      </c>
      <c r="AA32" s="13" t="s">
        <v>172</v>
      </c>
      <c r="AB32" s="13" t="s">
        <v>172</v>
      </c>
      <c r="AC32" s="14" t="s">
        <v>379</v>
      </c>
      <c r="AD32" s="15" t="s">
        <v>291</v>
      </c>
    </row>
    <row r="33" spans="1:30" x14ac:dyDescent="0.25">
      <c r="A33" s="5">
        <v>32</v>
      </c>
      <c r="B33" s="7" t="s">
        <v>387</v>
      </c>
      <c r="C33" s="19" t="s">
        <v>388</v>
      </c>
      <c r="D33" s="19" t="s">
        <v>389</v>
      </c>
      <c r="E33" s="6" t="s">
        <v>32</v>
      </c>
      <c r="F33" s="7" t="s">
        <v>235</v>
      </c>
      <c r="G33" s="8">
        <v>35.1</v>
      </c>
      <c r="H33" s="8">
        <v>0</v>
      </c>
      <c r="I33" s="8">
        <v>0</v>
      </c>
      <c r="J33" s="8">
        <v>0</v>
      </c>
      <c r="K33" s="8">
        <v>0</v>
      </c>
      <c r="L33" s="9">
        <v>35.1</v>
      </c>
      <c r="M33" s="8">
        <v>0</v>
      </c>
      <c r="N33" s="8">
        <v>0</v>
      </c>
      <c r="O33" s="8" t="s">
        <v>390</v>
      </c>
      <c r="P33" s="10">
        <v>0</v>
      </c>
      <c r="Q33" s="11" t="s">
        <v>164</v>
      </c>
      <c r="R33" s="11" t="s">
        <v>391</v>
      </c>
      <c r="S33" s="11" t="s">
        <v>392</v>
      </c>
      <c r="T33" s="11" t="s">
        <v>301</v>
      </c>
      <c r="U33" s="16" t="s">
        <v>393</v>
      </c>
      <c r="V33" s="11" t="s">
        <v>394</v>
      </c>
      <c r="W33" s="11" t="s">
        <v>394</v>
      </c>
      <c r="X33" s="11" t="s">
        <v>301</v>
      </c>
      <c r="Y33" s="11" t="s">
        <v>394</v>
      </c>
      <c r="Z33" s="12">
        <v>46072</v>
      </c>
      <c r="AA33" s="13" t="s">
        <v>172</v>
      </c>
      <c r="AB33" s="13" t="s">
        <v>172</v>
      </c>
      <c r="AC33" s="14" t="s">
        <v>388</v>
      </c>
      <c r="AD33" s="15" t="s">
        <v>245</v>
      </c>
    </row>
    <row r="34" spans="1:30" x14ac:dyDescent="0.25">
      <c r="A34" s="20">
        <v>33</v>
      </c>
      <c r="B34" s="21" t="s">
        <v>395</v>
      </c>
      <c r="C34" s="22" t="s">
        <v>396</v>
      </c>
      <c r="D34" s="22" t="s">
        <v>395</v>
      </c>
      <c r="E34" s="23" t="s">
        <v>73</v>
      </c>
      <c r="F34" s="21" t="s">
        <v>126</v>
      </c>
      <c r="G34" s="24">
        <v>417.48581000000001</v>
      </c>
      <c r="H34" s="24">
        <v>0</v>
      </c>
      <c r="I34" s="24">
        <v>0</v>
      </c>
      <c r="J34" s="24">
        <v>0</v>
      </c>
      <c r="K34" s="24">
        <v>0</v>
      </c>
      <c r="L34" s="25">
        <v>417.48581000000001</v>
      </c>
      <c r="M34" s="24">
        <v>0</v>
      </c>
      <c r="N34" s="24">
        <v>0</v>
      </c>
      <c r="O34" s="24" t="s">
        <v>397</v>
      </c>
      <c r="P34" s="26">
        <v>0</v>
      </c>
      <c r="Q34" s="27" t="s">
        <v>301</v>
      </c>
      <c r="R34" s="27" t="s">
        <v>398</v>
      </c>
      <c r="S34" s="27" t="e">
        <v>#N/A</v>
      </c>
      <c r="T34" s="27" t="s">
        <v>301</v>
      </c>
      <c r="U34" s="28" t="s">
        <v>399</v>
      </c>
      <c r="V34" s="27" t="s">
        <v>401</v>
      </c>
      <c r="W34" s="27" t="s">
        <v>401</v>
      </c>
      <c r="X34" s="27" t="s">
        <v>301</v>
      </c>
      <c r="Y34" s="27" t="s">
        <v>401</v>
      </c>
      <c r="Z34" s="29">
        <v>0</v>
      </c>
      <c r="AA34" s="30" t="s">
        <v>172</v>
      </c>
      <c r="AB34" s="30" t="s">
        <v>172</v>
      </c>
      <c r="AC34" s="31" t="s">
        <v>396</v>
      </c>
      <c r="AD34" s="32"/>
    </row>
  </sheetData>
  <conditionalFormatting sqref="P2:R34 T2:Y34">
    <cfRule type="dataBar" priority="1">
      <dataBar>
        <cfvo type="num" val="0"/>
        <cfvo type="num" val="1"/>
        <color rgb="FF008AEF"/>
      </dataBar>
      <extLst>
        <ext xmlns:x14="http://schemas.microsoft.com/office/spreadsheetml/2009/9/main" uri="{B025F937-C7B1-47D3-B67F-A62EFF666E3E}">
          <x14:id>{79ADEA55-798F-4C8F-BD5E-06EB23647432}</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79ADEA55-798F-4C8F-BD5E-06EB23647432}">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P2:R34 T2:Y34</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2026-02-19T09:03:54Z</dcterms:created>
  <dcterms:modified xsi:type="dcterms:W3CDTF">2026-02-19T09:03:57Z</dcterms:modified>
</cp:coreProperties>
</file>