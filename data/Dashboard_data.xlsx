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https://cmscomputersindia-my.sharepoint.com/personal/avdhoot_rao_cms_co_in/Documents/D Drive/streamlit_dashboard/data/"/>
    </mc:Choice>
  </mc:AlternateContent>
  <xr:revisionPtr revIDLastSave="0" documentId="8_{19EB4CF6-EE0F-4265-B0E5-93A5DFC84F88}" xr6:coauthVersionLast="47" xr6:coauthVersionMax="47" xr10:uidLastSave="{00000000-0000-0000-0000-000000000000}"/>
  <bookViews>
    <workbookView xWindow="-120" yWindow="-120" windowWidth="20730" windowHeight="11040" xr2:uid="{4B326068-ABE4-4B97-B751-886FC87E259E}"/>
  </bookViews>
  <sheets>
    <sheet name="Data_summary"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<sst xmlns="http://schemas.openxmlformats.org/spreadsheetml/2006/main" count="488" uniqueCount="333">
  <si>
    <t>SN</t>
  </si>
  <si>
    <t>Project</t>
  </si>
  <si>
    <t>search_db</t>
  </si>
  <si>
    <t>Project1</t>
  </si>
  <si>
    <t>Region</t>
  </si>
  <si>
    <t>Type</t>
  </si>
  <si>
    <t>Total PO Amt</t>
  </si>
  <si>
    <t>Billed Till Date</t>
  </si>
  <si>
    <t>Accrual</t>
  </si>
  <si>
    <t>Total Revenue</t>
  </si>
  <si>
    <t>Open AR</t>
  </si>
  <si>
    <t>Open Billing</t>
  </si>
  <si>
    <t>Billed YTD_FY25-26</t>
  </si>
  <si>
    <t>Current Month Billing</t>
  </si>
  <si>
    <t>Project Duration</t>
  </si>
  <si>
    <t>Billed</t>
  </si>
  <si>
    <t>Billing Milestone</t>
  </si>
  <si>
    <t>Project Dates</t>
  </si>
  <si>
    <t>Resource</t>
  </si>
  <si>
    <t>Milestone billing amount</t>
  </si>
  <si>
    <t>Scope</t>
  </si>
  <si>
    <t>Overall Progress</t>
  </si>
  <si>
    <t>Weekly Plan</t>
  </si>
  <si>
    <t>Technology / tools</t>
  </si>
  <si>
    <t>Challenges / Risks</t>
  </si>
  <si>
    <t>Update Date</t>
  </si>
  <si>
    <t>Profit_YTD MIS</t>
  </si>
  <si>
    <t>Profit_FY24-25_MIS</t>
  </si>
  <si>
    <t>search_db1</t>
  </si>
  <si>
    <t>Project Manager / Lead</t>
  </si>
  <si>
    <t>INVEST INDIA</t>
  </si>
  <si>
    <t>PMG INVEST INDIA</t>
  </si>
  <si>
    <t>North</t>
  </si>
  <si>
    <t>Application Maintenance</t>
  </si>
  <si>
    <t>36 Months</t>
  </si>
  <si>
    <t>Monthly</t>
  </si>
  <si>
    <t>Start Date (PO) : 17-Jul-23 :: End Date (PO) : 16-Jul-26</t>
  </si>
  <si>
    <t>15</t>
  </si>
  <si>
    <t>23.34 L</t>
  </si>
  <si>
    <t>Hiring of Professionals for --
Application Development and Maintenance – 36 months 
Front End and Back End developer – 8 Resources
Full Stack developer, Solution Architect, QA Engineer, UI/UX designer, business analyst, QA automation tester, Project Manager – 1 resource each</t>
  </si>
  <si>
    <t>S.no  Bucket name     No. of Tasks
  1.      No Status    =   14
  2.      Estimation   =   10
  3.     Designing    =    8
  4.     To Do        =    12
  5.     In Progress  =    13
  6.     Under QA Testing = 2
  7.     User Acceptance Testing (UAT) = 16
  8.     Released on Production = 273
  9.     Closed       = 121</t>
  </si>
  <si>
    <t xml:space="preserve">1 task plan to deployment </t>
  </si>
  <si>
    <t>HTML,CSS,React,java, spring boot,Elastic,mysql AWS,Postman,Jenkins,CI/CD,Kibana,GIT,Docker</t>
  </si>
  <si>
    <t xml:space="preserve">1) Replacement of Jaysharee
2) 4 Months payment pending
3 up oct bill submitted </t>
  </si>
  <si>
    <t>Amit K</t>
  </si>
  <si>
    <t>SBM-U</t>
  </si>
  <si>
    <t>SWACHH BHARAT MISSION - SBM URBAN</t>
  </si>
  <si>
    <t>SWACHH BHARAT MISSION - SBM</t>
  </si>
  <si>
    <t>Start Date (PO) : 10-Jan-24 :: End Date (PO) : 09-Jan-27</t>
  </si>
  <si>
    <t>27 ((16 resources from GAIA + 11 from CMS)</t>
  </si>
  <si>
    <t>45.06 L</t>
  </si>
  <si>
    <t>Development, Maintenance and operations of an Integrated Portal for SBM used by the MoHUA
Update and maintain the various modules and functionalities developed as a part of the “Integrated Swachhatam” portal
update and maintain all mobile applications developed
Resolve all the bugs, issues and queries raised for these developed functionalities</t>
  </si>
  <si>
    <t xml:space="preserve">1. 27 resources on-boarded. (16 resources from GAIA – 11 from CMS)
2. Payment received till Aug’25. Payment expected for Sep’25 in next week.
3. DWR mobile app: changes done for dumpsite, bug fixing ongoing. 
4. New SBM Dashboard ver2.0 (SWM, Legacy waste &amp; Toilets): bug fixing ongoing as per PMU comments. SS: 5 resources onboarded.
5. UWM Action Plan: additional points added from CPEEHO: Testing ongoing
6. GFC Indicator logic implemented in DB and changes ongoing in UI side.
7. Engineer App: Geo location enabled in iOS/Android-verification done.
8. Implementation of Media Service in Java-Ongoing.
9. Website updates ongoing. NUC Registration portal: Changes Ongoing, if any.
10. SS Scoring logic and result declaration: understanding excel sheet
</t>
  </si>
  <si>
    <t xml:space="preserve">1. Maintenance activities: Daily ULB support, Website changes ongoing.
2. New SBM Dashboard 2.0 development: legacy waste &amp; Toilets: testing ongoing by PMU. DWR Mobile App pilot planned for dumpsite in Nov’25.
3. SS Handover : Session on SS scoring &amp; result finalization with IPSOS ongoing. Development setup &amp; Code configuration is ongoing, Mobile App – Code Configuration done. Doc prepared to update libraries which are old/outdated/deprecated.
</t>
  </si>
  <si>
    <t>Angular, AWS Cloud, mySQl, Posgresql, NodeJS, Java, MongoDB, RESTAPI, HTML, PHP, MicroService, Quicksight,CSS, Flutter</t>
  </si>
  <si>
    <t xml:space="preserve">1. Replacement of DevOps has joined on 6th Nov. we have only 1 day for his KT. Delayed hiring from HR. Need to be sensitize HR to fill positions ontime.
2. Majority of team members working remotely. 
</t>
  </si>
  <si>
    <t>Anoop K</t>
  </si>
  <si>
    <t>ORGI</t>
  </si>
  <si>
    <t>orgi OFFICE OF REGISTRAR GENERAL OF INDIA - CRS</t>
  </si>
  <si>
    <t>OFFICE OF REGISTRAR GENERAL OF INDIA - CRS</t>
  </si>
  <si>
    <t>2 Years</t>
  </si>
  <si>
    <t>Start Date (PO) : 02-Apr-24 :: End Date (PO) : 01-Apr-26</t>
  </si>
  <si>
    <t>26</t>
  </si>
  <si>
    <t>35.2 L</t>
  </si>
  <si>
    <t>Maintenance, operations &amp; enhancement of ORGI CRS Web and Mobile Application(s) including migration of legacy data from State CRS applications to ORGI CRS and vice-versa through APIs.
Resources for 2 years as below –
Data Analytics, Database Administrator, Mobile App. Developer Android, Mobile App. Developer iOS, System Admin, Team Lead/Technical Project Manager, Training and Change Management Engineer, UI / Web Designer - 1 resource each.
API Developers, Quality Assurance/ Test Engineer, Senior Application Developers – 2 resource each
Application Developers, Technical Support (helpdesk) – 6 resource each</t>
  </si>
  <si>
    <t>1. 26 Resource deployed.
2. Development of new Module is under process as per CRS requirement.
3. DC and DR Sync up , Horizontal and vertical scalling
4. State onboard is on going.
5. Receive Data from Non CRS State through API.
6. AADHAR , TRANSLITRATION and Payment Integrations.
7. DB,System performance and monitoring continue above 99.6 % availability.
8. Bag resoluation</t>
  </si>
  <si>
    <t>1. June and Aug Payment under process from FO. 
2. July payment Received.
3. Sept document and Attendance verification under processing.
4. Integration of UMANG App with CRS Portal
5. EPIC No Addition on death Certificate , Bilingural Languagesin QR Code , Certificate Cancellation Report, Water mark on UAT certificate ,
6. Bihar CRBD Form (11,12 &amp; 13)</t>
  </si>
  <si>
    <t>Node JS, Android, iOS, ORACLE database , REST, API design, HTML, CSS, JavaScript, JSON, IIS/ Apache, Linux, Aadhaar Vault, NSDL PayGov, C-DAC</t>
  </si>
  <si>
    <t>1. Delhi State Onboarding on CRS Portal- No subdistrict
2  GHMC Telangana: Provision for single municipal corporation under Four district which is not support by CRS portal
3. Family Care Tracker – Pilot Project (Integration of CRS BRN with Poshan Tracker, Techo+, and CTS Portals)
4. RU &amp; Jurisdiction Mapping Phase 4: Functionality for Merging and Splitting of RU Units
5. Puducherry states will join CRS portal from 1st Nov with three regional Languages.
6. Approval for Gaurang Rejected.
7. Indore and Ahmedabad IMC Zonal register creation</t>
  </si>
  <si>
    <t>Dhananjay J</t>
  </si>
  <si>
    <t>ECCS NEW</t>
  </si>
  <si>
    <t>EXPRESS CARGO CLEARANCE SYSTEM – ECCS NEW 2.0</t>
  </si>
  <si>
    <t>EXPRESS CARGO CLEARANCE SYSTEM – ECCS 2.0</t>
  </si>
  <si>
    <t>West</t>
  </si>
  <si>
    <t>2 years (incl. 3 month HOTO)</t>
  </si>
  <si>
    <t>Quarterly</t>
  </si>
  <si>
    <t>Start Date (PO) : 26-Sep-24 :: End Date (PO) : 25-Sep-26</t>
  </si>
  <si>
    <t>68</t>
  </si>
  <si>
    <t>287.27 L</t>
  </si>
  <si>
    <t>Application Support, Onsite support Helpdesk Operations and Maintenance Services and upkeep of the ECCS Application
Manage and deliver current and proposed CRs  
Deployment of Project Management  software tools as per RFP
Technological Upgradation of ECCS application The vendor is responsible for ECCS application technological upgrade.
Application Upgrade       
Version Upgrade
Architecture Upgrade
User Interface Upgrade</t>
  </si>
  <si>
    <t xml:space="preserve">All approvals received for JAS for invoice.
AMJ 80% Payment received.
Replacement of Linux developer is approved by WZU. We will upload the NDA by next week.
Refund Module- FRD completed &amp; submitted. Development in WIP.
WZU visited Tatwa along with CMS members to capturing all the security &amp; network parameters.  </t>
  </si>
  <si>
    <t>Refund Module- Targeting to complete by 31st Oct on UAT, as production date is given by WZU is 15th Nov 2025.
Submitting Invoice and getting approved ADG Sir.
Targeting to move Dwell time and E-mobility on production as VAPT is still in progress. 
Getting NDA document corrected and verify by Legal team.
Email thread for Onboarding dummy Resources with actual identity with internal as well as with WZU.</t>
  </si>
  <si>
    <t>Java Struts, For upgrade - TBD</t>
  </si>
  <si>
    <t xml:space="preserve">Closing 4 positions. 
Onboarding dummy Resources with actual identity. (2 types of Penalty). </t>
  </si>
  <si>
    <t>Rahul S / Asmita S</t>
  </si>
  <si>
    <t>PFRDA</t>
  </si>
  <si>
    <t>PENSION FUND REGULATORY AND DEVELOPMENT AUTHORITY - PFRDA</t>
  </si>
  <si>
    <t>Software Development</t>
  </si>
  <si>
    <t>1 yr Proj + 1 Yr Warr + 4 Yr AMC</t>
  </si>
  <si>
    <t xml:space="preserve">10% SRS ( 2m), 10% UAT( 7m), 10% VAPT/Audit  ( 8m), 50% Implementation (9m), 10% training( 10m), 10% final Go-live ( 12m) for Solution cost of 622 L </t>
  </si>
  <si>
    <t>Start Date (PO) : 18-Dec-23 :: End Date (PO) : 17-Dec-29</t>
  </si>
  <si>
    <t>29</t>
  </si>
  <si>
    <t>As per achievment</t>
  </si>
  <si>
    <t>Design, development, implementation and maintenance of PFRDA intranet portal(PINTRA) - internal digitalization (HRMS and finance) along with mobile app for HRMS
Modules – HRMS, Finance, Admin, Legal, IT Management System
9 months Go-Live + 3 months Stabilisation + 1 Year Warranty + 4 Years AMC
Payment Milestone : 10% SRS ( 2m), 10% UAT( 7m), 10% VAPT/Audit  ( 8m), 50% Implementation (9m), 10% training( 10m), 10% final Go-live ( 12m) for Solution cost of 622 L 
Quarterly Payment for below;
FMS during Warranty – 0.5 L / Qtr for 4 Qtr = 2 L
MeitY empanelled GCC / VPC – 13.5 L/Qtr for 20 Qtr = 271 L
Support Payment for Operations – 17.6 L/Qtr for 20 Qtr = 354 L
CR – 17 L as &amp; when required</t>
  </si>
  <si>
    <t>Delivery of the BI tool for the Legal Department completed. Data migration for the month of April completed for the Finance module. Two UAT points from the Finance module delivered; remaining UAT points are in progress. Twenty-one production issues resolved this week</t>
  </si>
  <si>
    <t>Delivery of production issues and Finance module UAT points</t>
  </si>
  <si>
    <t>Spring Boot, Odoo, React JS, Apache, PostgreSQL, Postman, Moodle, Figma, Ubuntu, AWS Cloud, Flutter, React, Node JS</t>
  </si>
  <si>
    <t/>
  </si>
  <si>
    <t>Dharmendra J</t>
  </si>
  <si>
    <t>DIC NHAI</t>
  </si>
  <si>
    <t>DIGITAL INDIA CORPORATION - NATIONAL HIGHWAY AUTHORITY OF INDIA DIC NHAI</t>
  </si>
  <si>
    <t>DIGITAL INDIA CORP - NATIONAL HIGHWAY AUTHORITY OF INDIA</t>
  </si>
  <si>
    <t>3 Years</t>
  </si>
  <si>
    <t>Track 1 (2m) - 10%, Track 2 (4m) – 20%, Track 3 (6m) – 20%, 8m – 50%</t>
  </si>
  <si>
    <t>Start Date (PO) : 13-Nov-24 :: End Date (PO) : 12-Nov-27</t>
  </si>
  <si>
    <t>38</t>
  </si>
  <si>
    <t>As per achievment, Phase 1 - 321 L, Phase 2 onwards - 350 L</t>
  </si>
  <si>
    <t>Developing and Maintaining a state-of-the-art Application to support transaction-based business processes covering entire lifecycle of National Highway projects of NHAI – Data Lake 2.0 upgradation.
Payment Phase &amp; milestone wise
Track 1 (2m) - 10%, Track 2 (4m) – 20%, Track 3 (6m) – 20%, Track 4 (8m) – 50%
Every phase of 6 months.
Deployment of proposed 33 resources. (+5 in phase 2)</t>
  </si>
  <si>
    <t xml:space="preserve">→ Phase 1 all 4 tracks billing completed.
→ Payment received till Track 4 for Phase 1.
→ All Nine modules of Phase I development &amp; production deployment is done.
→ Drone moved to Phase II.
→ BICRS, Highway QR deployed on production.
→ Phase II requirement gathering done for Road Closure, Document Repository, Critical Correspondence, and Payment to AE/IE, Digitization Schedule H, CO Division (Onboarding, Toll Master), NSV.
→ Requirement gathering in progress for NCR.
→ Development in progress on
Road Closure. Expected UAT date is 10th Nov.
Document Repository. Expected UAT date is 10th Nov.
Critical Correspondence. Expected UAT date is 10th Nov.
</t>
  </si>
  <si>
    <t>→ Development of Document Repository, Critical Correspondence and feature enhancements from phase 1 modules.
→ Deployment of:
Road Closure.
Document Repository. 
Critical Correspondence. 
→ Requirement gather for other modules of phase II - Schedule digitization (G &amp; M), Employee Directory, Financial Progress, Toll Collection API, Rectification of Black Spot, Road Accident Monitoring &amp; Reduction API.</t>
  </si>
  <si>
    <t>No-SQL, Ruby, Python, Java, HTML, CSS, JavaScript, Angular, React, GIS/ML, Cloud - TBD, Node JS, Rest API</t>
  </si>
  <si>
    <t>→ Phase II timelines are quite tight considering the workload and current team capacity.
→ Timely onboarding of additional resources will be crucial.
→ Scope addition / Change Requests in ongoing development, even on the final day.</t>
  </si>
  <si>
    <t>Mukul K / Agam V</t>
  </si>
  <si>
    <t>DAnFW</t>
  </si>
  <si>
    <t>DEPARTMENT OF AGRICULTURE CORPORATION AND FARMER WELFARE DIVISION MINISTRY MAOFW DANFW DACFW dept of agri.</t>
  </si>
  <si>
    <t>DEPT OF AGRICULTURE CORP &amp; FARMER WELFARE</t>
  </si>
  <si>
    <t>Start Date (PO) : 05-Dec-24 :: End Date (PO) : 04-Dec-26</t>
  </si>
  <si>
    <t>52+2</t>
  </si>
  <si>
    <t>67.88 L</t>
  </si>
  <si>
    <t>Deployment of technical resources for application development, customization and maintenance for ‘digital agriculture division, DA&amp;FW’
Deployment of required 34 resources.
1 resource each – Team Lead, Sr Mobile Developer, tester, BA, content management expert.
2 resource each – Full stack/Sr Developer, UI/UX, API developer, mobile developer, dashboard expert, e-office support.
3 resource each – Sr Front end developer, VC support
5 resource – Full stack developer (&gt;6 to &lt;10 yrs.)
6 resource – Full stack developer (&gt;3 to &lt;6 yrs.)
Deployment of 16 resources on need basis.</t>
  </si>
  <si>
    <t xml:space="preserve">1] Krishi Mapper : 
A. GIS Dashboard new layout implemented on Production server
B. Working on Assign Target. Adding Self assign target data listing
C. GIS implementing option for Google to Bhuvan Map switching
D. Delivered NF Mobile app to the division
E. Assets App done and under testing before going live
2] Natural Farming:
A. Start working on implementing MIS Report module
B. Designer working on page layout
C. Need to show specific village level farmer data and also give data export option. 
3] UPAg
A. Meeting with Division for review the team performance
B. Given briefing to Crops Director Komal
4] M&amp;T
A. FMTTI, SMAM &amp; CRM components done from user management
B. Survey data report module done
C. Data fetching from external API, showing total count and making the relevant report to showing the data
</t>
  </si>
  <si>
    <t xml:space="preserve">1] Krishi Mapper: 
A. RKVY API integration
B. Seed Fostering scheme onboarding
C. AIF crop stage changes
2] Natural Farming
A. Deliver MIS report Module to division
B. Demonstration to States about the NF scheme on KM
</t>
  </si>
  <si>
    <t>C#, ASP.NET, MVC, .NET Core, Visual Studio, HTML5, CSS3, RESTful API, MERN, flutter, react Native, MS SQL, e-Office</t>
  </si>
  <si>
    <t>1] Heavy workload on UI/UX due to shortage of designer
2] Facing API loading issue from server side due to lack of DB Developer.</t>
  </si>
  <si>
    <t>Sourav M / Ravi R</t>
  </si>
  <si>
    <t>GWALIOR SC ICCC</t>
  </si>
  <si>
    <t>Smart City</t>
  </si>
  <si>
    <t>62 month (incl. 2 mnth HOTO)</t>
  </si>
  <si>
    <t>FMS – 11 L + Taxes (monthly billing)
O&amp;M – 13 L + Taxes (quarterly billing)
Audit – 8 L + Taxes (yearly billing for 1st Year)
Upgradation – 324 L + Taxes (60% - 194 L)</t>
  </si>
  <si>
    <t>Start Date (PO) : 30-Aug-24 :: End Date (PO) : 31-Oct-29</t>
  </si>
  <si>
    <t>32</t>
  </si>
  <si>
    <t>As per milestone</t>
  </si>
  <si>
    <t>ICCC &amp; DC upgradation with 5 years comprehensive AMC – 60% on SITC &amp; 2% every Quarter with O&amp;M payment
CAMC of existing IT &amp; non-IT infra -  quarterly payment
Manpower services: 39+1(non-billable) – monthly payment 
ICCC certifications – Yearly payment
Provision – as &amp; when required.</t>
  </si>
  <si>
    <t>Q1 &amp; Q2&amp; Q3 payment and 60% Capex payment  and also 2% capex payment released.
Q.4 Data preparing for bill submission WIP. (Bill submit before 20 Nov. because some details are pending from HR end Like PF, ESIC and Paid chalan copy etc.)
32 Manpower deployed as per client requirements.
ISO Certification Documents parts ready some parts are pending to client end for Audit.
IT Equipment like server switch and storage AMC not start yet.
Video wall down last one month due to lighting effect.
Minimum wages and saturatory  Bonus issue not resolved from our HR side.
1st floor 20 No's Ac AMC not done from HO and Purchase team.</t>
  </si>
  <si>
    <t>Prepare Q.4 Payment Documents and SLA details.
Video wall Quote and Switch quote submit to Insurance team for claim process.
IT equipment for AMC vendor visit at site for check all devices.
Q.4 PM activity and breakdown issues resolve as per requirement.
Some Vendor Payment not received details are submitted on email to HO team.</t>
  </si>
  <si>
    <t>NA</t>
  </si>
  <si>
    <t>VENDORS PAYMENT NOT DONE TIMELY FROM CMS END. (Ramp display and CCSPL &amp; SUDHIR SALES DG &amp; Delta UPS and Vertiv)
AMC REQUIRED OLD DC INFRA ON URGENT BASIS because our SAN storage and tape library not working , client is issuing a letter for this.
For ISO CERTIFICATION PUSH TO CLINT FROM OUR SALES TEAM.
Video wall down last 30 days, Vendor PO pending and insurance team not responding proper time.
Insurance claim register for video wall and Switches.
Minimum wages, Increment letter and saturatory  Bonus issue not resolved from our HR side.
1st floor 20 No's Ac AMC not done from HO and Purchase team.</t>
  </si>
  <si>
    <t>Sachin S</t>
  </si>
  <si>
    <t>Kanpur SC O&amp;M</t>
  </si>
  <si>
    <t>Kanpur SC O&amp;M tech mahindra TECHM</t>
  </si>
  <si>
    <t>42 month</t>
  </si>
  <si>
    <t>Start Date (PO) : 01-Jan-23 :: End Date (PO) : 25-Jun-26</t>
  </si>
  <si>
    <t>46</t>
  </si>
  <si>
    <t>381 L</t>
  </si>
  <si>
    <t>O&amp;M support, AMC of all BOQ. Maintenance of Hardware, Network, Software, ICT Infrastructure, L1 , L2, L3 &amp; OEM Support of all field solutions, DC &amp; DR and applications for 42 months ( 50 junctions )
BG for 762 L to be submitted, advance payment of 2 Qtrs will be released  after signing SOW. BG would be returned back to CMS after 4 Qtrs.
PBG of 3% of balance of TCV (137 L) to be submitted at end of Qtr 4.</t>
  </si>
  <si>
    <t>1)Jan23 to Sept25 (Total 11 quarters payment released- 75%)
2)24 July meeting scheduled with commissioner to discuss issues related to ICCC critical issues &amp; withhold payment- KSCL will not pay to TechM (re-imbursement)- KSCL will not pay to Tech M reimburesement and will have to be paid by Tech M to CMS
3) Billing done for AMJ25 &amp; JAS24 Qtr</t>
  </si>
  <si>
    <t>1) To expedite ATCS -23 junctions for making it operational
2) VMSB issue resolution to keep it live
3) Metro Inventory consolidation
4) Reimbursement of recurring charges from Tech-M
5) Release of 25% retention/withheld amount
6) Coordination with vendor Videonetics for implementation of "Time for Red" as per the requirement of the client.
7)Follow-up on procurement of batteries, smart parking sensors, HDD for LPU's,
8)Coordination with purchase to issue an amended P.O for M/s Commend towards their AMC services for P.A system
9) Deployment of smart parking sensors at sites that can be completed as per the existing quantity of sensors.</t>
  </si>
  <si>
    <t xml:space="preserve">1) ATCS 23 junction activity work has suffered due to vendor M/s SPIT inactions in expediting works  
2)Vendor Videonetics "Time for Red" feature not yet been delivered despite the forgone timeline. Client now want to replace CMS.
3)Battery order is placed and expected around 8th Nov for its delivery. 
4)VMSB devices facing recurring problems (dark spots, black lines, component failures).Smart Parking sensors &amp; VMSB card-related issues.
5)DR/DC – The OEM ESDS services has expired in Dec’24 and has been disabled.  
6) Smart parking affected due to unavailability of sensors, and 45 days delivery time expected.
7)HDD order for LPU is awaited as a result of which system at various junction has downtime.
8)Client’s requirement of inventory list.
</t>
  </si>
  <si>
    <t>Saleel H</t>
  </si>
  <si>
    <t>NMPT</t>
  </si>
  <si>
    <t>NEW MANGALORE PORT TRUST - NMPT</t>
  </si>
  <si>
    <t>South</t>
  </si>
  <si>
    <t>CRP</t>
  </si>
  <si>
    <t>5 years</t>
  </si>
  <si>
    <t>Start Date (PO) : 01-Jul-24 :: End Date (PO) : 01-Jul-29</t>
  </si>
  <si>
    <t>7.3 L</t>
  </si>
  <si>
    <t>Operation and Comprehensive annual Maintenance Contract (CAMC) of the RFID System for a Period of 5 years at NMPA.
FMS – 12 data entry operators, 2 Technician, 1 Service Engineer
Replacement of existing Infrastructure in 1st year. – 197 L (inc. KK &amp; Cruise gate augmentation).
Payment within 15 days after SITC of replacement. 
Integration with existing system.</t>
  </si>
  <si>
    <t xml:space="preserve">1. DB server issues, gate application is getting hang
2. Taken official system downtime and patch updated.
3. Antivirus has been disabled
4. System is under observation
5. This week case worker were not available to clear our CAMC bills.
</t>
  </si>
  <si>
    <t xml:space="preserve">DB server issues must be resolved.
Following up with NMPA for bill clearance
</t>
  </si>
  <si>
    <t>Prashant P</t>
  </si>
  <si>
    <t>Vadodara Traffic</t>
  </si>
  <si>
    <t>VADODARA VMC TRAFFIC</t>
  </si>
  <si>
    <t>SITC 4 Mths  &amp;  O&amp;M -  5 Yrs</t>
  </si>
  <si>
    <t>After SITC</t>
  </si>
  <si>
    <t>Start Date (PO) : 26-Feb-24 :: End Date (PO) : 25-Jun-29</t>
  </si>
  <si>
    <t xml:space="preserve">shared resource </t>
  </si>
  <si>
    <t>full</t>
  </si>
  <si>
    <t>Design, supply, Erection testing &amp; commissioning of traffic signal at various 28 junction.
Upgradation of old traffic signal at 44 Junction.
Integration with existing system.
5 year comprehensive maintenance service.
Payment 100% after successful installation.</t>
  </si>
  <si>
    <t xml:space="preserve">Under O &amp; M </t>
  </si>
  <si>
    <t xml:space="preserve">O &amp; M activity and Final capex billing </t>
  </si>
  <si>
    <t xml:space="preserve">20 no CDT and 5 no of DC controller spare material procurement pending since long time.---VMC ATCS
22 no of UCON 10 controller we needs to replace. - ICCC
</t>
  </si>
  <si>
    <t>Sachin R</t>
  </si>
  <si>
    <t>VADODARA ICCC</t>
  </si>
  <si>
    <t>VADODARA ICCC vadodara</t>
  </si>
  <si>
    <t>Start Date (PO) : 01-Aug-24 :: End Date (PO) : 31-Jul-29</t>
  </si>
  <si>
    <t>100.99 L</t>
  </si>
  <si>
    <t>O&amp;M support, AMC of all BOQ. Maintenance of Hardware, Network, Software, ICT Infrastructure, L1 , L2, L3 &amp; OEM Support of all field solutions, DC &amp; DR and applications for 60 months
Deployment of manpower : Project Manager (1), Technical Expert (4) [Network and Security, Video management, server-storage, CCC software], Electrician (4), Field staff (8)  
PBG of 3%</t>
  </si>
  <si>
    <t xml:space="preserve">O &amp; M activity </t>
  </si>
  <si>
    <t xml:space="preserve">Pending one junction light installation </t>
  </si>
  <si>
    <t xml:space="preserve">20 no CDT and 5 no of DC controller spare material procurement pending since long time.---VMC ATCS
22 no of UCON 10 controller we needs to replace. 
</t>
  </si>
  <si>
    <t>ISCDL</t>
  </si>
  <si>
    <t>INDORE SMART CITY ISCDL</t>
  </si>
  <si>
    <t>INDORE SMART CITY</t>
  </si>
  <si>
    <t>SITC – 9 M, O&amp;M – 5 Yr</t>
  </si>
  <si>
    <t>Start Date (PO) : 01-Nov-22 :: End Date (PO) : 31-Aug-29</t>
  </si>
  <si>
    <t>5</t>
  </si>
  <si>
    <t xml:space="preserve">43.3 L + Taxes (O&amp;M) </t>
  </si>
  <si>
    <t>Implementation of (ITMS) for 50 Junctions with Centralised Monitoring + 50 additional services
Payment Milestone wise
5% Inception Report, 10% requirement Study, 30% material delivery &amp; commissioning of 1 corridor ( 15 Junctions ) , 30% remaining delivery ( 35 junctions + 20 SVD + 20 ATCC and 10 TVD ) &amp; commissioning, 25% Go Live.
O &amp; M : 5 Years
CAPEX ~20.37 Cr   &amp; OPEX ~ 8.66 Cr</t>
  </si>
  <si>
    <t>1] As of today, the Smart City entity are awaiting the funds in its bank account for project mobilization/ disbursement.
2] ISCDL team are working for New PPP project of initially 20 ITMS Junction, 20 VMS (5X3), 20 PAS, regarding this CEO sir asked CDO sir to ask CMS to work on the PPP projects. Post they will issue rest 95 ITMS, 90 VMS (5X3), 90 PAS.
3. ISCDL team are working for New PPP project of Data centre for 65,000 Camera, regarding this CEO sir asked CDO sir to ask CMS to work on the PPP projects.</t>
  </si>
  <si>
    <t>1.Draft letter as per submitted GO-Live letter are reviewed by CEO sir. As per CEO sir, he is taking concurrence from ED sir for issuing the Go-Live certificates. Expected to received final letter in upcoming week.</t>
  </si>
  <si>
    <t xml:space="preserve">There is no clarity against the payment availability at Smart city.
</t>
  </si>
  <si>
    <t>Akash K</t>
  </si>
  <si>
    <t>IREL</t>
  </si>
  <si>
    <t>INDIAN RARE EARTHS LIMITED - IREL</t>
  </si>
  <si>
    <t>SITC –  12 Months , O&amp;M -  4 Yrs</t>
  </si>
  <si>
    <t>Milestonewise</t>
  </si>
  <si>
    <t>Start Date (PO) : 29-Oct-18 :: End Date (PO) : 30-Sep-25</t>
  </si>
  <si>
    <t>21</t>
  </si>
  <si>
    <t>As per Achievement</t>
  </si>
  <si>
    <t>Development of  Integrated ERP System (IITS) (326 L) 
FMS including support &amp; maintenance (147 L)
Cloud Services (574 L)
Change Request (63 K)</t>
  </si>
  <si>
    <t>We are fixing the bugs for HRMS, SM, MM.
For FA, we are working segment report</t>
  </si>
  <si>
    <t>Planning to send an email to customer to schedule a meeting with CMD</t>
  </si>
  <si>
    <t>Core Java, BIRD tool, postgre, ESDS cloud</t>
  </si>
  <si>
    <t>IREL is planning to migrate the website from ESDS to NIC</t>
  </si>
  <si>
    <t>Priya R</t>
  </si>
  <si>
    <t>Guwahati SC</t>
  </si>
  <si>
    <t>Guwahati SC Honeywell Automation India Limited</t>
  </si>
  <si>
    <t>East</t>
  </si>
  <si>
    <t>1 Year + O&amp;M</t>
  </si>
  <si>
    <t>10% of capex - Submission of Survey report, built report, project deployment plan.
50% - supply of material on pro-rata basis
15% - installation of material on pro-rata basis
15% - commissioning on pro-rata basis
5% - Go-live on pro-rata basis for individual system
5% - Overall Go-live of complete project.</t>
  </si>
  <si>
    <t>Start Date (PO) : 10-Feb-25 :: End Date (PO) : 09-Feb-26</t>
  </si>
  <si>
    <t>2</t>
  </si>
  <si>
    <t>SITC for --.
1] 20 ECB.
2] 20 PA.
3] 10 ENV SENSOR.
4] 10 VMD.
5] 1 GIS Software.
-- 5 years O&amp;M after Go-live for supplied BOQ.</t>
  </si>
  <si>
    <t xml:space="preserve">-&gt;1. EVS: 10/10 Nos. EVS installation done.
2. PA: 20/20 Pairs PA installation done.
3. VMD: 6/10 Nos. VMD installation done.
4. ECB: 20/20 Nos. ECB enclosure foundation done.
5. All materials delivered at site as per PO Qty except 10 Nos. VMD controllers and Accessories. 
6. 99% billing done.
7. Accessories not yet delivered.
8. 4 Nos. VMD foundation pending. 1 VMD foundation digging work started. 
9. Cable laying, connection, configuration and commissioning pending.
</t>
  </si>
  <si>
    <t xml:space="preserve">1] 4 Nos. VMD pole foundation work.
2] EVS, PA cable laying work. </t>
  </si>
  <si>
    <t xml:space="preserve">1]	Accessories not yet purchased and delivered. Pending from purchase. Need to deliver urgently to start the cable laying, connection, earth pit installation.
2. VMD controller not yet delivered.
3. Cable laying, digging, etc work order not yet given to local vendor. Pending from purchase. Need to follow-ups with purchase team.
4. VMD installation vendor (Bonsai) SOW issue and payment issue. Need to be closed immediately. After discussion with me, Santosh Sir and Vaibhav Sir over the phone with Mr. Deepak Pathak, Bonsai still not supplied any accessories as per SOW for VMD installation work. Need to complete discussion with Bonsai and CMS stakeholders. Payment also a big issue. Bonsai asking the payment of 10 Nos. of supplied VMD poles and structures and the 6 Nos. of installed VMD. They are threatening to stop the installation work due to the payment not yet done. Need immediate support from HO. 
</t>
  </si>
  <si>
    <t>Arindam R</t>
  </si>
  <si>
    <t>MCS - L&amp;T</t>
  </si>
  <si>
    <t xml:space="preserve">Mumbai city surveillance larsen and toubro mcs </t>
  </si>
  <si>
    <t>Mumbai City Surveillance</t>
  </si>
  <si>
    <t>6 months</t>
  </si>
  <si>
    <t>Start Date (PO) : 01-Mar-25 :: End Date (PO) : 31-Aug-25</t>
  </si>
  <si>
    <t>216</t>
  </si>
  <si>
    <t>72.86 L</t>
  </si>
  <si>
    <t>Viewing Manpower in 4 shifts including backup to cover 203 shifts daily.</t>
  </si>
  <si>
    <t>New 3 Candidates selected, trained and joined till 14th November,2025</t>
  </si>
  <si>
    <t>Shortlist, Interview and Train new 20 Candidates.</t>
  </si>
  <si>
    <t>Recruitment of 20 Candidates.
New Work Order for extension period</t>
  </si>
  <si>
    <t>Jaywant P</t>
  </si>
  <si>
    <t>JNPA</t>
  </si>
  <si>
    <t>Jawaharlal Nehru Port Authority JNPA jnpt</t>
  </si>
  <si>
    <t>Jawaharlal Nehru Port Authority</t>
  </si>
  <si>
    <t>EMS</t>
  </si>
  <si>
    <t>6 months + 5 Yr CAMC</t>
  </si>
  <si>
    <t>Product Cost Payable on Product Delivery - 70%
ICT Charges - 30%</t>
  </si>
  <si>
    <t>Start Date (PO) : 07-Apr-25 :: End Date (PO) : 04-Oct-25</t>
  </si>
  <si>
    <t>1</t>
  </si>
  <si>
    <t>131.78 L</t>
  </si>
  <si>
    <t>1. Primary &amp; Backup Servers:
✅ Fully configured, tested, and installed at NOC. Ready for use; no pending issues.
2. Substations 1, 2 &amp; 3 (MFM Communication):
🔧 Network setup done; awaiting switch rack installation and port enabling by JNPA vendor. CMS to complete meter data connectivity within 2–3 days post availability.
3. Main Substation (MFM Communication):
📡 Communication established via SCADA. Awaiting API support from GE (JNPA vendor) for EEMS integration.
4. ABT Meters:
⚙️ Two meters installed; pending series connection by MSETCL and switch port activation at Incomer room. CMS to proceed post both activities.
5. RMU Panel Meters:
🧭 Survey completed; communication pending due to OFC network and switch unavailability. CMS to proceed post JNPA readiness confirmation.
6. Water Flow Meters:
💧 62 delivered, 5 installed. Awaiting readiness confirmation from Water Dept for remaining installations (~30 nos.). Larger meter locations yet to be finalized.
7. Consumer Billing Meters:
📶 MPLS connectivity established at NOC; link testing in progress. SIM activation and modem setup next for live data flow.
8. Cloud Registration:
☁️ AWS account successfully created.
9. Software Deployment:
💻 System deployed and integrated at NOC. Supports multi-user access. Enhancements to be taken up during live data phase.</t>
  </si>
  <si>
    <t>Sim card availability and testing with energy meters modem connection</t>
  </si>
  <si>
    <t>PostgreSQL, DLMS, MODBUS, GPRS, Python, DotNet MVC</t>
  </si>
  <si>
    <t>⚠️ Dependency on JNPA vendors for switch installation, port enabling, and OFC network readiness — causing delays in data communication setup.
🕒 Pending response from GE (SCADA vendor) for API support — holding up integration with EEMS.
🔌 MSETCL testing team delay in connecting ABT meters in series — impacting meter data availability.
🚧 Water Dept infrastructure readiness (valves, ducts, power) pending — delaying further water meter installations.
🔁 Scope clarity for RMU communication and SEZ area pending from JNPA — required to finalize configuration and rollout.</t>
  </si>
  <si>
    <t>Brayan F</t>
  </si>
  <si>
    <t>DIC ROB</t>
  </si>
  <si>
    <t>DIGITAL INDIA CORP -PRD RAILWAY &amp; ROB GIRDER INSPECTION PORTAL DIGITAL INDIA CORP -PRD RAILWAY &amp; ROB GIRDER INSPECTION PORTAL  DIC ROB</t>
  </si>
  <si>
    <t>DIGITAL INDIA CORP - PRD RAILWAY &amp; ROB GIRDER INSPECTION PORTAL</t>
  </si>
  <si>
    <t>4 months + O&amp;M</t>
  </si>
  <si>
    <t>Track 1 - 10%, Track 2 – 20%, Track 3 – 20%, 8m – 50%</t>
  </si>
  <si>
    <t>Start Date (PO) : 09-Jun-25 :: End Date (PO) : 08-Oct-25</t>
  </si>
  <si>
    <t>14</t>
  </si>
  <si>
    <t>As per achievment.</t>
  </si>
  <si>
    <t>Developing and Maintaining a state-of-the-art Application to used for handling the process related to constructing a railway girder over the roads/highways including various stages of requests, inspection and approval process involving different stakeholders/users.
Need to automate &amp; manage the process through web-based portal which is currently handled manually/paper-based.
In Phase -1, The process related to Quality Assurance Plan (QAP) and  Welding Procedure Specification Sheet (WPSS) will be automated.
In Phase-2, rest of the processes to be automated.
Payment Phase &amp; milestone wise
Track 1 - 10%, Track 2 – 20%, Track 3 – 20%, Track 4 – 50%
Deployment of proposed resources for total 80 Man-months.</t>
  </si>
  <si>
    <t xml:space="preserve">1.	Authentication Module – Implemented secure login and access control mechanism with proper user roles and permissions.
2. Landing Page – Developed and deployed interactive dashboard with quick navigation to all major modules.
3. Agency Selection – Functionality for selecting and managing agencies successfully integrated.
4. View Girder Assignment – Module to view girder assignment details completed and tested.
5. WPSS &amp; QAP Submission Approver – Approval flow for WPSS and QAP submissions finalized and implemented.
6. Module Integration – All completed modules integrated seamlessly within the main application framework.
7. Inter-Service Communication – Microservice communication established through REST APIs for smooth data exchange.
8. View &amp; Download GAD – Functionality to view and download GAD files successfully developed and tested.
9. Add New Girder &amp; Contractor – Module for adding new girders and assigning contractors implemented.
10. Agency Selection (Extended) – Additional features and validations incorporated as per updated PRD.
11. GAD Management Module – Developed module for managing GAD-related data and documents.
12. Stakeholder &amp; Employee Onboarding – Onboarding flow for stakeholders and employees completed, integrated with authentication service.
13. All core modules and approval workflows have been completed as per PRD.
14. API integration and inter-service communication successfully tested.
15. GAD Management and WPSS/QAP Approval flows are functional and aligned with updated requirements.
16. Stakeholder onboarding and agency management workflows are fully operational.
17.Email Integration – Successfully implemented and tested email service for notification and approval workflows.
18.	Girder Fabrication &amp; Raw Material Approval Process – Partially completed; remaining integration and approval flow under development.
19. WPQR Preparation &amp; Submission (Welding Procedure Qualification Record) – Partially completed; submission and approval components in progress.
20. Layout, Master Plates, Jigs, Joints &amp; Fixtures – Inspection Request – Partially completed; inspection request generation and workflow integration ongoing.
21. Cutting, Straightening &amp; Edge Preparation – Inspection Request – Partially completed; validation and backend service linkage under progress.
Plan
22. Fabrication QA
23. Workshop development
24. inspection development
</t>
  </si>
  <si>
    <t>1. Demo for RDSO
2.Inspection &amp; Workshop QA</t>
  </si>
  <si>
    <t>JAVA 17, Springboot, PostgreSql, React, AWS Cloud, Microservices, NodeJS, Postman, Apache Tomcat webserver, SSL, Oauth, AWS ECS</t>
  </si>
  <si>
    <t xml:space="preserve">
Challenges / Risks
1.Due to continuous changes in PRD and Figma designs, development work is in progress.
2. Waiting for RDSO feedback/changes</t>
  </si>
  <si>
    <t>DIC NOC</t>
  </si>
  <si>
    <t>DIGITAL INDIA CORP - NOC</t>
  </si>
  <si>
    <t>9 months + O&amp;M</t>
  </si>
  <si>
    <t>Start Date (PO) : 03-Jul-25 :: End Date (PO) : 02-Jan-27</t>
  </si>
  <si>
    <t>12</t>
  </si>
  <si>
    <t>Development, deployment, and support of NOC Portal with modules for Login, User Registration, Application Submission, and Approval workflows.
Implementation of Registration &amp; Validation including Mobile OTP, GST validation, Aadhaar integration, and User Authorization.
Enable Application Submission with GIS data pickup, document upload, affidavit submission, e-sign, payment gateway, and Q&amp;A module.
Workflow automation for Right of Way (ROW) applications with end-to-end submission tracking.</t>
  </si>
  <si>
    <t>Total 12 modules (functionalities) to be developed in this project.
Completed - 5
In progress - 3
Pending (dependencies from Client) - 4
→ Module-wise Status with remarks as below;
●	Development Completed for:
1] CDAC E-Sign Integration - Fully integrated and tested.
2] Bharatkosh Payment Integration - Live and functional.
3] Amenity Listing - Finalized and ready for use.
4] Compliance Questions Validation Enhancement (Access) - Pending Review and approval.
5] Access Upload Drawings &amp; Documents - Awaiting initiation and final approvals.
●	Development In Progress for:
1] GIS Data Cleaning - Data refinement activities underway.
2] PA/CA/AE/IE User Data Cleaning - User data validation and cleaning ongoing.
3] GIS Data (Geo Server Setup) - Geo Server establishment blocked due to Docker image support issue; Shridhar is investigating. MoRTH confirmation is still awaited.
●	Pending for:
1] UIDAI Aadhaar Integration - Awaiting initiation and final approvals.
2] Utility Listing - Awaiting initiation and final approvals
3] Compliance Questions Validation Enhancement (ROW) - Pending - Awaiting initiation and final approvals.
4] ROW Upload Drawings &amp; Documents - Pending - Awaiting initiation and final approvals.</t>
  </si>
  <si>
    <t>●	Expedite resolution of Geo Server/Docker issue.
●	Obtain MoRTH confirmation for GIS data provisioning.
●	Initiate UIDAI Aadhaar integration post prerequisites.</t>
  </si>
  <si>
    <t>●	GIS Data / Geo Server: Docker image issue hindering setup; pending MoRTH confirmation.
●	UIDAI Aadhaar Integration: Implementation to begin after receiving required approvals and environment setup.
●	Template creation for Provisional License and Final License.</t>
  </si>
  <si>
    <t>Pradeep N</t>
  </si>
  <si>
    <t>NeGD ITPO</t>
  </si>
  <si>
    <t>NATIONAL E-GOVERNANCE DIV - ITPO BHARAT MANDAPAM NATIONAL E-GOVERNANCE DIV - ITPO BHARAT MANDAPAM NeGD ITPO</t>
  </si>
  <si>
    <t>NATIONAL E-GOVERNANCE DIVISION - ITPO BHARAT MANDAPAM</t>
  </si>
  <si>
    <t>2 Years &amp; extendable for 1 yr</t>
  </si>
  <si>
    <t>Start Date (PO) : 25-Aug-25 :: End Date (PO) : 24-Aug-27</t>
  </si>
  <si>
    <t>21.25 L</t>
  </si>
  <si>
    <t>Hiring of 14 Professionals to --
Handle the software project development, support &amp; rollout services of DIC-NeGD projects.
Primarily the services would range from core project development, implementation to management support in carrying out regular operational activities on a day-to-day basis
– For 24 months extendable upto 1 Yr.
Front End and Back End developer – 8 Resources (Including 1 senior developer each)
Mobile App Developer – 2 resources
Quality Analyst, DevOps, Project Manager cum Business Analyst, Data Entry Analyst (Platform Management) - 1 resource each</t>
  </si>
  <si>
    <t xml:space="preserve">The corporate website has been completed according to the previous Figma design. We are currently working on the design for the inner pages and have already shared two Figma design options for these pages for your review and approval.
KT of the Booking portal is in progress. </t>
  </si>
  <si>
    <t xml:space="preserve">Once the pages are approved, we will begin development on the approved designs. </t>
  </si>
  <si>
    <t>- Backend: Node.js (Java script- Nest.Js Framework)
- Frontend: Angular
- DB: MySQL</t>
  </si>
  <si>
    <t>Raghavendra P</t>
  </si>
  <si>
    <t>MMRDA BTRS</t>
  </si>
  <si>
    <t>MMRDA - BALASAHEB THAKRE RASHTRIYA SMARAK MMRDA - BALASAHEB THAKRE RASHTRIYA SMARAK MMRDA BTRS</t>
  </si>
  <si>
    <t>MMRDA - BALASAHEB THAKRE RASHTRIYA SMARAK</t>
  </si>
  <si>
    <t>18 months</t>
  </si>
  <si>
    <t>Start Date (PO) : Yet to log Order :: End Date (PO) : .</t>
  </si>
  <si>
    <t>0 L</t>
  </si>
  <si>
    <t>EPC  providing immersive experience in Gallery and Museum design with fit out and SITC of end-to-end solutions of technologies including existing systems, MEPF and O&amp;M for 1 Year
CMS Scope ( As Partner to EPC Contractor) 
SITC  of BLE5 MESH NETWORK VISITOR MANGEMENT
SITC  of ICCC PLATFORM WITH LIDAR AND BI TOOLS
SITC  of VIDEO WALL &amp; ASSOCIATED CONTROLLERS, CABLES &amp; ACCESSORIES
SITC  of COMMAND &amp; CONTROL ROOM INCLUDING CIVIL, INTERIORS, MEP SERVICES
SITC  of NETWORK, SECURITY MONITORING AND MANAGEMENT
SITC  of  SERVERS , DESKTOPS AND ASSOCIATED INFRASTRUCTURE</t>
  </si>
  <si>
    <t>We have still  not received the order and SO is not generated, as per sales - Mr. Parag the final signature is awaited from customer side.</t>
  </si>
  <si>
    <t>Once the Order is generated in our system we will ask Purchase to start taking the quotes and do negotiations along with Meeting with All identified vendors as per scope at site.</t>
  </si>
  <si>
    <t>Crisp delivery timeliness and multiple vendors to deliver the entire solution makes it complex and timely follow-up and push is needed.</t>
  </si>
  <si>
    <t>Vinod S</t>
  </si>
  <si>
    <t>EWDS O&amp;M</t>
  </si>
  <si>
    <t>National Cyclone Risk Mitigation</t>
  </si>
  <si>
    <t>National Cyclone Risk Mitigation (EWDS) O&amp;M</t>
  </si>
  <si>
    <t>2 Years (O&amp;M)</t>
  </si>
  <si>
    <t>Start Date (PO) : 25-Feb-21 :: End Date (PO) : 27-Feb-28</t>
  </si>
  <si>
    <t>O&amp;M – 618 L (1st Year 237 L &amp; 2nd Year 381 L)</t>
  </si>
  <si>
    <t>• Supply, Installation, Testing, Commissioning with O&amp;M for Statewide Early Warning Dissemination System (EWDS) for Kerala State
• Implementation at SEOC- 80 KVA UPS, Smart rack with Enterprise devices -servers, storage, switches, routers, firewall and the entire application stack. (ICCC-Trinity/EPW-Everbridge/NMS- Motadata /Contact center- Genesys).
• Implementation at EOC locations across 14 DEOC, 77 TEOC, 14 Fire Stations, 20 Matsya Bhavan and Police Head Quarter( 126 locations).</t>
  </si>
  <si>
    <t>-</t>
  </si>
  <si>
    <t>Sreejith V</t>
  </si>
  <si>
    <t>Bhagalpur O&amp;M</t>
  </si>
  <si>
    <t>Bhagalpur Smart City O&amp;M (Shapoorji Pallonji)</t>
  </si>
  <si>
    <t>5 Years</t>
  </si>
  <si>
    <t>Start Date (PO) : 06-Nov-23 :: End Date (PO) : 05-Nov-28</t>
  </si>
  <si>
    <t>18.04 L</t>
  </si>
  <si>
    <t xml:space="preserve">5Years O&amp;M for 
•	ERP Solutions
•	16 Nos ATCS junctions
•	20 Nos ECB
•	25 Nos PA
•	15 Nos VMD
•	60 Nos GPS
•	ICCC Software 
-- with ITMS expert and field expert.  </t>
  </si>
  <si>
    <t xml:space="preserve">-&gt; ATCS, ECB, PA, VMD, GPS and VDC maintenance work going on.
-&gt; Quarterly PM report submitting as per the BSCL and SPCL requirement. 
-&gt; ERP solutions developing work still going on. 
-&gt; Trade license module handed over to Nagar Nigam. Rest 15 Modules Modifications works are still in progress.
-&gt; 58 Nos. GPS re-installed.   </t>
  </si>
  <si>
    <t xml:space="preserve">-&gt; ERP Modification work completion. 
-&gt; 6 Nos. VDC cable issue will be rectified. </t>
  </si>
  <si>
    <t>ERP Support Issues:
1. SoftTech is not providing adequate support to resolve ERP-related issues and pending modifications. Management intervention is required to close these matters.
2. Request for Services Module:
SoftTech has stopped providing support for the Request for Services module and has put its development on hold due to financial constraints. Immediate management support is requested to resume the development.
3. Bhagalpur Site Power Issues:
Bhagalpur site is facing severe power fluctuation problems. UPS back-up is not available from SPCL, resulting in damage to several Traffic Controller and VMD Controller cards due to over-voltage. Proper earthing is also missing, and the HT overhead line is dangerously close to the poles.
Solutions: We are currently creating earthing pits for the Traffic Controllers and poles and are planning to use AVS and surge protectors to prevent further damage.
4. ECB Card Compatibility:
The new ECB cards are not matching with the existing system. The issue needs to be checked and closed at the earliest.</t>
  </si>
  <si>
    <t>Muzaffarpur O&amp;M</t>
  </si>
  <si>
    <t>Muzaffarpur Smart City O&amp;M (Shapoorji Pallonji)</t>
  </si>
  <si>
    <t>Start Date (PO) : 25-May-23 :: End Date (PO) : 24-May-28</t>
  </si>
  <si>
    <t>3</t>
  </si>
  <si>
    <t>17.63 L</t>
  </si>
  <si>
    <t xml:space="preserve">5Years O&amp;M for 
•	ERP Solutions
•	31 Nos ATCS Junctions
•	31 Nos ECB
•	10 Nos PA
•	31 Nos VMD
•	ICCC Software
--- with ITMS expert and filed expert.  </t>
  </si>
  <si>
    <t xml:space="preserve">1] ATCS, ECB, PA, VMD maintenance work is going on. 
2] ERP O&amp;M also going on. 
3] ERP new module, modification work is going on. </t>
  </si>
  <si>
    <t xml:space="preserve">1] ERP issues closing plan. 
2] VDC issues closing plan. </t>
  </si>
  <si>
    <t xml:space="preserve">1] SoftTech is not providing adequate support for ERP modifications. Immediate management intervention is required to resolve this issue.
2] The new ECB card is not compatible with the ECB application. This needs to be addressed and resolved urgently. </t>
  </si>
  <si>
    <t>DVC O&amp;M</t>
  </si>
  <si>
    <t>Damodar Valley Corporation</t>
  </si>
  <si>
    <t>Damodar Valley Corporation O&amp;M</t>
  </si>
  <si>
    <t>Start Date (PO) : 01-Feb-24 :: End Date (PO) : 31-Jan-29</t>
  </si>
  <si>
    <t>14.2 L Quarterly (AMC- 7.2 L/Qtr, Data Collection- 7 L/Qtr) &amp;  Audit- 3.2 L/Yr</t>
  </si>
  <si>
    <t xml:space="preserve">•	5 Years O&amp;M support including 24X7 DC support and with proper adequate manpower support in field for 48 Substations and Power plants. 
•	Any Changes in S/w, reports, screen without extra cost as per PO and need to be added other OEM meters in the same T&amp;C. </t>
  </si>
  <si>
    <t xml:space="preserve">1. 7 Qrt. O&amp;M support done and 6 Qrt billing done. 
2. Out of 6 Qrt, 4 Qrt Payment received. 2 Pending due to the DVC vendor billing portal have in development stage. Expected by this month end payment for 2 Qrt will be received. 
3. 1 Qrt billing due. By this month it will be done. 
4. Meter rectification work going on at the substations. 
5. CERTIN Audit partially done. Pending for Lease line not available from DVC end and they are arranging. </t>
  </si>
  <si>
    <t xml:space="preserve">1. CERTIN audit completion.
2. Meter rectification. </t>
  </si>
  <si>
    <t xml:space="preserve">1. Out of 706 EDMI meters, 26 units are frequently found faulty. These need to be either repaired by EDMI or replaced (by EDMI or another make). It is becoming very difficult to maintain service levels without LD implications. Immediate management support is required.
2. Around 60 out of the remaining 680 meters are facing TTL card issues. Our team is continuously replacing TTL cards to keep the system functional.
3. 2–3 blocks (out of 96) are missing on a daily basis because we are required to restart the meters twice a day.
4. DVC is extracting raw data from our server through API for their internal services. We need to continue providing necessary API/service support as per the PO terms and conditions.
Your immediate attention and intervention in resolving these issues will help ensure uninterrupted service and compliance with contractual obligations. </t>
  </si>
  <si>
    <t>Daman SC</t>
  </si>
  <si>
    <t>Daman Smart City</t>
  </si>
  <si>
    <t>Rahul Pol</t>
  </si>
  <si>
    <t>NIRBHAYA VMD</t>
  </si>
  <si>
    <t>Nirbhaya VMD</t>
  </si>
  <si>
    <t>•	Nirbhaya Safe City - Variable Messaging Displays (Digital Billboards) for Commissioner of Police – Mumbai 
•	2 VMD’s to be installed in MMP Region .</t>
  </si>
  <si>
    <t>Vinod S / Anil H</t>
  </si>
  <si>
    <t>Design, Supply, Installation, Testing and Commissioning of web based enterprise energy and utility Management system with five years of Comprehensive Annual Maintenance Contract (CAMC)
a) Complete built in energy monitoring system including power distribution monitoring of electrical &amp; utility energy &amp; consumption monitoring viz boundary level, process level and specific identified key areas.
b) Demand management system that covers demand forecasting, scheduling and deviation monitoring w.r.t the schedule drawl
c) Energy billing system that coverers consumer’s energy monitoring and billing
-&gt;&gt;Functional Requirements/ Deliverables :  DATA ACQUISITION SYSTEM // DATA MANAGEMENT SYSTEM // DEMAND FORECASTING MODULE // Deviation Settlement Mechanism Module //Demand Management Module // Utility Billing Module – Electricity, Water &amp; Rental
-&gt;&gt;Infrastructure Requirements: Server // Cloud Service (IaaS) // OS // DB // Networking</t>
  </si>
  <si>
    <t>-&gt;N/A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</si>
</sst>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_ &quot;₹&quot;\ * #,##0_ ;_ &quot;₹&quot;\ * \-#,##0_ ;_ &quot;₹&quot;\ * &quot;-&quot;??_ ;_ @_ "/>
    <numFmt numFmtId="165" formatCode="[$-409]dd/mmm/yy;@"/>
  </numFmts>
  <fonts count="5" x14ac:knownFonts="1">
    <font>
      <sz val="11"/>
      <color theme="1"/>
      <name val="Aptos Narrow"/>
      <family val="2"/>
      <scheme val="minor"/>
    </font>
    <font>
      <sz val="11"/>
      <color theme="1"/>
      <name val="Aptos Narrow"/>
      <family val="2"/>
      <scheme val="minor"/>
    </font>
    <font>
      <b/>
      <sz val="11"/>
      <color theme="0"/>
      <name val="Aptos Narrow"/>
      <family val="2"/>
      <scheme val="minor"/>
    </font>
    <font>
      <u/>
      <sz val="11"/>
      <color theme="10"/>
      <name val="Aptos Narrow"/>
      <family val="2"/>
      <scheme val="minor"/>
    </font>
    <font>
      <sz val="11"/>
      <color rgb="FF000000"/>
      <name val="Aptos Narrow"/>
      <family val="2"/>
    </font>
  </fonts>
  <fills count="3">
    <fill>
      <patternFill patternType="none"/>
    </fill>
    <fill>
      <patternFill patternType="gray125"/>
    </fill>
    <fill>
      <patternFill patternType="solid">
        <fgColor theme="6"/>
        <bgColor theme="6"/>
      </patternFill>
    </fill>
  </fills>
  <borders count="7">
    <border>
      <left/>
      <right/>
      <top/>
      <bottom/>
      <diagonal/>
    </border>
    <border>
      <left style="thin">
        <color theme="6"/>
      </left>
      <right/>
      <top style="thin">
        <color theme="6"/>
      </top>
      <bottom/>
      <diagonal/>
    </border>
    <border>
      <left/>
      <right/>
      <top style="thin">
        <color theme="6"/>
      </top>
      <bottom/>
      <diagonal/>
    </border>
    <border>
      <left/>
      <right style="thin">
        <color theme="6"/>
      </right>
      <top style="thin">
        <color theme="6"/>
      </top>
      <bottom/>
      <diagonal/>
    </border>
    <border>
      <left style="thin">
        <color theme="6"/>
      </left>
      <right/>
      <top style="thin">
        <color theme="6"/>
      </top>
      <bottom style="thin">
        <color theme="6"/>
      </bottom>
      <diagonal/>
    </border>
    <border>
      <left/>
      <right/>
      <top style="thin">
        <color theme="6"/>
      </top>
      <bottom style="thin">
        <color theme="6"/>
      </bottom>
      <diagonal/>
    </border>
    <border>
      <left/>
      <right style="thin">
        <color theme="6"/>
      </right>
      <top style="thin">
        <color theme="6"/>
      </top>
      <bottom style="thin">
        <color theme="6"/>
      </bottom>
      <diagonal/>
    </border>
  </borders>
  <cellStyleXfs count="4">
    <xf numFmtId="0" fontId="0" fillId="0" borderId="0"/>
    <xf numFmtId="44" fontId="1" fillId="0" borderId="0" applyFont="0" applyFill="0" applyBorder="0" applyAlignment="0" applyProtection="0"/>
    <xf numFmtId="9" fontId="1" fillId="0" borderId="0" applyFont="0" applyFill="0" applyBorder="0" applyAlignment="0" applyProtection="0"/>
    <xf numFmtId="0" fontId="3" fillId="0" borderId="0" applyNumberFormat="0" applyFill="0" applyBorder="0" applyAlignment="0" applyProtection="0"/>
  </cellStyleXfs>
  <cellXfs count="31">
    <xf numFmtId="0" fontId="0" fillId="0" borderId="0" xfId="0"/>
    <xf numFmtId="0" fontId="2" fillId="2" borderId="1" xfId="0" applyFont="1" applyFill="1" applyBorder="1"/>
    <xf numFmtId="0" fontId="2" fillId="2" borderId="2" xfId="0" applyFont="1" applyFill="1" applyBorder="1"/>
    <xf numFmtId="164" fontId="2" fillId="2" borderId="2" xfId="1" applyNumberFormat="1" applyFont="1" applyFill="1" applyBorder="1"/>
    <xf numFmtId="0" fontId="2" fillId="2" borderId="3" xfId="0" applyFont="1" applyFill="1" applyBorder="1"/>
    <xf numFmtId="0" fontId="0" fillId="0" borderId="1" xfId="0" applyBorder="1"/>
    <xf numFmtId="0" fontId="3" fillId="0" borderId="2" xfId="3" applyBorder="1"/>
    <xf numFmtId="0" fontId="0" fillId="0" borderId="2" xfId="0" applyBorder="1"/>
    <xf numFmtId="164" fontId="0" fillId="0" borderId="2" xfId="1" applyNumberFormat="1" applyFont="1" applyBorder="1"/>
    <xf numFmtId="164" fontId="0" fillId="0" borderId="2" xfId="0" applyNumberFormat="1" applyBorder="1"/>
    <xf numFmtId="9" fontId="0" fillId="0" borderId="2" xfId="2" applyFont="1" applyBorder="1"/>
    <xf numFmtId="0" fontId="4" fillId="0" borderId="2" xfId="1" applyNumberFormat="1" applyFont="1" applyBorder="1"/>
    <xf numFmtId="165" fontId="4" fillId="0" borderId="2" xfId="1" applyNumberFormat="1" applyFont="1" applyBorder="1"/>
    <xf numFmtId="9" fontId="4" fillId="0" borderId="2" xfId="2" applyFont="1" applyBorder="1"/>
    <xf numFmtId="44" fontId="4" fillId="0" borderId="2" xfId="1" applyFont="1" applyBorder="1"/>
    <xf numFmtId="44" fontId="4" fillId="0" borderId="3" xfId="1" applyFont="1" applyBorder="1"/>
    <xf numFmtId="0" fontId="4" fillId="0" borderId="2" xfId="1" applyNumberFormat="1" applyFont="1" applyBorder="1" applyAlignment="1"/>
    <xf numFmtId="0" fontId="0" fillId="0" borderId="2" xfId="1" applyNumberFormat="1" applyFont="1" applyBorder="1"/>
    <xf numFmtId="0" fontId="0" fillId="0" borderId="4" xfId="0" applyBorder="1"/>
    <xf numFmtId="0" fontId="3" fillId="0" borderId="5" xfId="3" applyBorder="1"/>
    <xf numFmtId="0" fontId="0" fillId="0" borderId="5" xfId="0" applyBorder="1"/>
    <xf numFmtId="164" fontId="0" fillId="0" borderId="5" xfId="1" applyNumberFormat="1" applyFont="1" applyBorder="1"/>
    <xf numFmtId="164" fontId="0" fillId="0" borderId="5" xfId="0" applyNumberFormat="1" applyBorder="1"/>
    <xf numFmtId="9" fontId="0" fillId="0" borderId="5" xfId="2" applyFont="1" applyBorder="1"/>
    <xf numFmtId="0" fontId="4" fillId="0" borderId="5" xfId="1" applyNumberFormat="1" applyFont="1" applyBorder="1"/>
    <xf numFmtId="0" fontId="4" fillId="0" borderId="5" xfId="1" applyNumberFormat="1" applyFont="1" applyBorder="1" applyAlignment="1"/>
    <xf numFmtId="165" fontId="4" fillId="0" borderId="5" xfId="1" applyNumberFormat="1" applyFont="1" applyBorder="1"/>
    <xf numFmtId="9" fontId="4" fillId="0" borderId="5" xfId="2" applyFont="1" applyBorder="1"/>
    <xf numFmtId="44" fontId="4" fillId="0" borderId="5" xfId="1" applyFont="1" applyBorder="1"/>
    <xf numFmtId="44" fontId="4" fillId="0" borderId="6" xfId="1" applyFont="1" applyBorder="1"/>
    <xf numFmtId="0" fontId="4" fillId="0" borderId="2" xfId="1" applyNumberFormat="1" applyFont="1" applyBorder="1" applyAlignment="1">
      <alignment wrapText="1"/>
    </xf>
  </cellXfs>
  <cellStyles count="4">
    <cellStyle name="Currency" xfId="1" builtinId="4"/>
    <cellStyle name="Hyperlink" xfId="3" builtinId="8"/>
    <cellStyle name="Normal" xfId="0" builtinId="0"/>
    <cellStyle name="Percent" xfId="2"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A63A-B01D-4825-AF21-B9A037990A63}">
  <dimension ref="A1:AD28"/>
  <sheetViews>
    <sheetView tabSelected="1" workbookViewId="0">
      <selection sqref="A1:AD28"/>
    </sheetView>
  </sheetViews>
  <sheetFormatPr defaultRowHeight="15" x14ac:dyDescent="0.25"/>
  <sheetData>
    <row r="1" spans="1:30" x14ac:dyDescent="0.25">
      <c r="A1" s="1" t="s">
        <v>0</v>
      </c>
      <c r="B1" s="2" t="s">
        <v>1</v>
      </c>
      <c r="C1" s="2" t="s">
        <v>2</v>
      </c>
      <c r="D1" s="2" t="s">
        <v>3</v>
      </c>
      <c r="E1" s="2" t="s">
        <v>4</v>
      </c>
      <c r="F1" s="2" t="s">
        <v>5</v>
      </c>
      <c r="G1" s="3"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4" t="s">
        <v>29</v>
      </c>
    </row>
    <row r="2" spans="1:30" x14ac:dyDescent="0.25">
      <c r="A2" s="5">
        <v>1</v>
      </c>
      <c r="B2" s="6" t="s">
        <v>30</v>
      </c>
      <c r="C2" s="7" t="s">
        <v>31</v>
      </c>
      <c r="D2" s="7" t="s">
        <v>30</v>
      </c>
      <c r="E2" s="7" t="s">
        <v>32</v>
      </c>
      <c r="F2" s="7" t="s">
        <v>33</v>
      </c>
      <c r="G2" s="8">
        <v>840.24454680000008</v>
      </c>
      <c r="H2" s="8">
        <v>634.12040560000059</v>
      </c>
      <c r="I2" s="8">
        <v>23</v>
      </c>
      <c r="J2" s="8">
        <v>657.12040560000059</v>
      </c>
      <c r="K2" s="8">
        <v>83</v>
      </c>
      <c r="L2" s="9">
        <v>206.12414119999949</v>
      </c>
      <c r="M2" s="8">
        <v>186.72101040000018</v>
      </c>
      <c r="N2" s="8">
        <v>23.340126300000005</v>
      </c>
      <c r="O2" s="8" t="s">
        <v>34</v>
      </c>
      <c r="P2" s="10">
        <v>0.75468553531825255</v>
      </c>
      <c r="Q2" s="11" t="s">
        <v>35</v>
      </c>
      <c r="R2" s="11" t="s">
        <v>36</v>
      </c>
      <c r="S2" s="11" t="s">
        <v>37</v>
      </c>
      <c r="T2" s="11" t="s">
        <v>38</v>
      </c>
      <c r="U2" s="11" t="s">
        <v>39</v>
      </c>
      <c r="V2" s="11" t="s">
        <v>40</v>
      </c>
      <c r="W2" s="11" t="s">
        <v>41</v>
      </c>
      <c r="X2" s="11" t="s">
        <v>42</v>
      </c>
      <c r="Y2" s="11" t="s">
        <v>43</v>
      </c>
      <c r="Z2" s="12">
        <v>45974</v>
      </c>
      <c r="AA2" s="13">
        <v>0.53779761992455066</v>
      </c>
      <c r="AB2" s="13">
        <v>0.4323402397342212</v>
      </c>
      <c r="AC2" s="14" t="s">
        <v>31</v>
      </c>
      <c r="AD2" s="15" t="s">
        <v>44</v>
      </c>
    </row>
    <row r="3" spans="1:30" x14ac:dyDescent="0.25">
      <c r="A3" s="5">
        <v>2</v>
      </c>
      <c r="B3" s="6" t="s">
        <v>45</v>
      </c>
      <c r="C3" s="7" t="s">
        <v>46</v>
      </c>
      <c r="D3" s="7" t="s">
        <v>47</v>
      </c>
      <c r="E3" s="7" t="s">
        <v>32</v>
      </c>
      <c r="F3" s="7" t="s">
        <v>33</v>
      </c>
      <c r="G3" s="8">
        <v>1440.002</v>
      </c>
      <c r="H3" s="8">
        <v>798.38669400000003</v>
      </c>
      <c r="I3" s="8">
        <v>36</v>
      </c>
      <c r="J3" s="8">
        <v>834.38669400000003</v>
      </c>
      <c r="K3" s="8">
        <v>49</v>
      </c>
      <c r="L3" s="9">
        <v>641.61530599999992</v>
      </c>
      <c r="M3" s="8">
        <v>298.89999999999998</v>
      </c>
      <c r="N3" s="8">
        <v>45.0625</v>
      </c>
      <c r="O3" s="8" t="s">
        <v>34</v>
      </c>
      <c r="P3" s="10">
        <v>0.55443443411884152</v>
      </c>
      <c r="Q3" s="11" t="s">
        <v>35</v>
      </c>
      <c r="R3" s="11" t="s">
        <v>48</v>
      </c>
      <c r="S3" s="11" t="s">
        <v>49</v>
      </c>
      <c r="T3" s="11" t="s">
        <v>50</v>
      </c>
      <c r="U3" s="11" t="s">
        <v>51</v>
      </c>
      <c r="V3" s="11" t="s">
        <v>52</v>
      </c>
      <c r="W3" s="11" t="s">
        <v>53</v>
      </c>
      <c r="X3" s="11" t="s">
        <v>54</v>
      </c>
      <c r="Y3" s="11" t="s">
        <v>55</v>
      </c>
      <c r="Z3" s="12">
        <v>45967</v>
      </c>
      <c r="AA3" s="13">
        <v>0.25894174422612948</v>
      </c>
      <c r="AB3" s="13">
        <v>0.19000000008625473</v>
      </c>
      <c r="AC3" s="14" t="s">
        <v>46</v>
      </c>
      <c r="AD3" s="15" t="s">
        <v>56</v>
      </c>
    </row>
    <row r="4" spans="1:30" x14ac:dyDescent="0.25">
      <c r="A4" s="5">
        <v>3</v>
      </c>
      <c r="B4" s="6" t="s">
        <v>57</v>
      </c>
      <c r="C4" s="7" t="s">
        <v>58</v>
      </c>
      <c r="D4" s="7" t="s">
        <v>59</v>
      </c>
      <c r="E4" s="7" t="s">
        <v>32</v>
      </c>
      <c r="F4" s="7" t="s">
        <v>33</v>
      </c>
      <c r="G4" s="8">
        <v>849.8214484745763</v>
      </c>
      <c r="H4" s="8">
        <v>434.41276180000017</v>
      </c>
      <c r="I4" s="8">
        <v>67</v>
      </c>
      <c r="J4" s="8">
        <v>501.41276180000017</v>
      </c>
      <c r="K4" s="8">
        <v>71</v>
      </c>
      <c r="L4" s="9">
        <v>415.40868667457613</v>
      </c>
      <c r="M4" s="8">
        <v>180.89820959999989</v>
      </c>
      <c r="N4" s="8">
        <v>0</v>
      </c>
      <c r="O4" s="8" t="s">
        <v>60</v>
      </c>
      <c r="P4" s="10">
        <v>0.51118121645407766</v>
      </c>
      <c r="Q4" s="11" t="s">
        <v>35</v>
      </c>
      <c r="R4" s="11" t="s">
        <v>61</v>
      </c>
      <c r="S4" s="11" t="s">
        <v>62</v>
      </c>
      <c r="T4" s="11" t="s">
        <v>63</v>
      </c>
      <c r="U4" s="11" t="s">
        <v>64</v>
      </c>
      <c r="V4" s="11" t="s">
        <v>65</v>
      </c>
      <c r="W4" s="11" t="s">
        <v>66</v>
      </c>
      <c r="X4" s="11" t="s">
        <v>67</v>
      </c>
      <c r="Y4" s="11" t="s">
        <v>68</v>
      </c>
      <c r="Z4" s="12">
        <v>45960</v>
      </c>
      <c r="AA4" s="13">
        <v>0.28825328932803584</v>
      </c>
      <c r="AB4" s="13">
        <v>0.11942473989981339</v>
      </c>
      <c r="AC4" s="14" t="s">
        <v>58</v>
      </c>
      <c r="AD4" s="15" t="s">
        <v>69</v>
      </c>
    </row>
    <row r="5" spans="1:30" x14ac:dyDescent="0.25">
      <c r="A5" s="5">
        <v>4</v>
      </c>
      <c r="B5" s="6" t="s">
        <v>70</v>
      </c>
      <c r="C5" s="7" t="s">
        <v>71</v>
      </c>
      <c r="D5" s="7" t="s">
        <v>72</v>
      </c>
      <c r="E5" s="7" t="s">
        <v>73</v>
      </c>
      <c r="F5" s="7" t="s">
        <v>33</v>
      </c>
      <c r="G5" s="8">
        <v>2413.0259999999998</v>
      </c>
      <c r="H5" s="8">
        <v>679.61924999999997</v>
      </c>
      <c r="I5" s="8">
        <v>93</v>
      </c>
      <c r="J5" s="8">
        <v>772.61924999999997</v>
      </c>
      <c r="K5" s="8">
        <v>435.99999999999994</v>
      </c>
      <c r="L5" s="9">
        <v>1733.4067499999999</v>
      </c>
      <c r="M5" s="8">
        <v>679.61924999999997</v>
      </c>
      <c r="N5" s="8">
        <v>0</v>
      </c>
      <c r="O5" s="8" t="s">
        <v>74</v>
      </c>
      <c r="P5" s="10">
        <v>0.28164605354438782</v>
      </c>
      <c r="Q5" s="11" t="s">
        <v>75</v>
      </c>
      <c r="R5" s="11" t="s">
        <v>76</v>
      </c>
      <c r="S5" s="11" t="s">
        <v>77</v>
      </c>
      <c r="T5" s="11" t="s">
        <v>78</v>
      </c>
      <c r="U5" s="11" t="s">
        <v>79</v>
      </c>
      <c r="V5" s="11" t="s">
        <v>80</v>
      </c>
      <c r="W5" s="11" t="s">
        <v>81</v>
      </c>
      <c r="X5" s="11" t="s">
        <v>82</v>
      </c>
      <c r="Y5" s="11" t="s">
        <v>83</v>
      </c>
      <c r="Z5" s="12">
        <v>45953</v>
      </c>
      <c r="AA5" s="13">
        <v>0.3723722124622717</v>
      </c>
      <c r="AB5" s="13">
        <v>0.33027289323308273</v>
      </c>
      <c r="AC5" s="14" t="s">
        <v>71</v>
      </c>
      <c r="AD5" s="15" t="s">
        <v>84</v>
      </c>
    </row>
    <row r="6" spans="1:30" x14ac:dyDescent="0.25">
      <c r="A6" s="5">
        <v>5</v>
      </c>
      <c r="B6" s="6" t="s">
        <v>85</v>
      </c>
      <c r="C6" s="7" t="s">
        <v>86</v>
      </c>
      <c r="D6" s="7" t="s">
        <v>86</v>
      </c>
      <c r="E6" s="7" t="s">
        <v>32</v>
      </c>
      <c r="F6" s="7" t="s">
        <v>87</v>
      </c>
      <c r="G6" s="8">
        <v>1265.69472</v>
      </c>
      <c r="H6" s="8">
        <v>497.67500000000001</v>
      </c>
      <c r="I6" s="8">
        <v>124</v>
      </c>
      <c r="J6" s="8">
        <v>621.67499999999995</v>
      </c>
      <c r="K6" s="8">
        <v>367</v>
      </c>
      <c r="L6" s="9">
        <v>768.01972000000001</v>
      </c>
      <c r="M6" s="8">
        <v>62.209375000000001</v>
      </c>
      <c r="N6" s="8">
        <v>0</v>
      </c>
      <c r="O6" s="8" t="s">
        <v>88</v>
      </c>
      <c r="P6" s="10">
        <v>0.39320303082247199</v>
      </c>
      <c r="Q6" s="11" t="s">
        <v>89</v>
      </c>
      <c r="R6" s="11" t="s">
        <v>90</v>
      </c>
      <c r="S6" s="11" t="s">
        <v>91</v>
      </c>
      <c r="T6" s="11" t="s">
        <v>92</v>
      </c>
      <c r="U6" s="11" t="s">
        <v>93</v>
      </c>
      <c r="V6" s="11" t="s">
        <v>94</v>
      </c>
      <c r="W6" s="11" t="s">
        <v>95</v>
      </c>
      <c r="X6" s="11" t="s">
        <v>96</v>
      </c>
      <c r="Y6" s="11">
        <v>0</v>
      </c>
      <c r="Z6" s="12">
        <v>45967</v>
      </c>
      <c r="AA6" s="13" t="s">
        <v>97</v>
      </c>
      <c r="AB6" s="13" t="s">
        <v>97</v>
      </c>
      <c r="AC6" s="14" t="s">
        <v>86</v>
      </c>
      <c r="AD6" s="15" t="s">
        <v>98</v>
      </c>
    </row>
    <row r="7" spans="1:30" x14ac:dyDescent="0.25">
      <c r="A7" s="5">
        <v>6</v>
      </c>
      <c r="B7" s="6" t="s">
        <v>99</v>
      </c>
      <c r="C7" s="7" t="s">
        <v>100</v>
      </c>
      <c r="D7" s="7" t="s">
        <v>101</v>
      </c>
      <c r="E7" s="7" t="s">
        <v>32</v>
      </c>
      <c r="F7" s="7" t="s">
        <v>87</v>
      </c>
      <c r="G7" s="8">
        <v>2186.2800000000002</v>
      </c>
      <c r="H7" s="8">
        <v>360.57</v>
      </c>
      <c r="I7" s="8">
        <v>89</v>
      </c>
      <c r="J7" s="8">
        <v>449.57</v>
      </c>
      <c r="K7" s="8">
        <v>39</v>
      </c>
      <c r="L7" s="9">
        <v>1825.7100000000003</v>
      </c>
      <c r="M7" s="8">
        <v>360.57</v>
      </c>
      <c r="N7" s="8">
        <v>35.07</v>
      </c>
      <c r="O7" s="8" t="s">
        <v>102</v>
      </c>
      <c r="P7" s="10">
        <v>0.16492398045995937</v>
      </c>
      <c r="Q7" s="11" t="s">
        <v>103</v>
      </c>
      <c r="R7" s="11" t="s">
        <v>104</v>
      </c>
      <c r="S7" s="11" t="s">
        <v>105</v>
      </c>
      <c r="T7" s="11" t="s">
        <v>106</v>
      </c>
      <c r="U7" s="11" t="s">
        <v>107</v>
      </c>
      <c r="V7" s="11" t="s">
        <v>108</v>
      </c>
      <c r="W7" s="11" t="s">
        <v>109</v>
      </c>
      <c r="X7" s="11" t="s">
        <v>110</v>
      </c>
      <c r="Y7" s="11" t="s">
        <v>111</v>
      </c>
      <c r="Z7" s="12">
        <v>45967</v>
      </c>
      <c r="AA7" s="13">
        <v>0.15992064345319656</v>
      </c>
      <c r="AB7" s="13">
        <v>0.32590705634920647</v>
      </c>
      <c r="AC7" s="14" t="s">
        <v>100</v>
      </c>
      <c r="AD7" s="15" t="s">
        <v>112</v>
      </c>
    </row>
    <row r="8" spans="1:30" x14ac:dyDescent="0.25">
      <c r="A8" s="5">
        <v>7</v>
      </c>
      <c r="B8" s="6" t="s">
        <v>113</v>
      </c>
      <c r="C8" s="7" t="s">
        <v>114</v>
      </c>
      <c r="D8" s="7" t="s">
        <v>115</v>
      </c>
      <c r="E8" s="7" t="s">
        <v>32</v>
      </c>
      <c r="F8" s="7" t="s">
        <v>33</v>
      </c>
      <c r="G8" s="8">
        <v>1606.08</v>
      </c>
      <c r="H8" s="8">
        <v>631.65653049999992</v>
      </c>
      <c r="I8" s="8">
        <v>68</v>
      </c>
      <c r="J8" s="8">
        <v>699.65653049999992</v>
      </c>
      <c r="K8" s="8">
        <v>259</v>
      </c>
      <c r="L8" s="9">
        <v>974.42346950000001</v>
      </c>
      <c r="M8" s="8">
        <v>520.13092500000005</v>
      </c>
      <c r="N8" s="8">
        <v>66.92</v>
      </c>
      <c r="O8" s="8" t="s">
        <v>60</v>
      </c>
      <c r="P8" s="10">
        <v>0.39329082642209601</v>
      </c>
      <c r="Q8" s="11" t="s">
        <v>35</v>
      </c>
      <c r="R8" s="11" t="s">
        <v>116</v>
      </c>
      <c r="S8" s="11" t="s">
        <v>117</v>
      </c>
      <c r="T8" s="11" t="s">
        <v>118</v>
      </c>
      <c r="U8" s="11" t="s">
        <v>119</v>
      </c>
      <c r="V8" s="11" t="s">
        <v>120</v>
      </c>
      <c r="W8" s="11" t="s">
        <v>121</v>
      </c>
      <c r="X8" s="11" t="s">
        <v>122</v>
      </c>
      <c r="Y8" s="11" t="s">
        <v>123</v>
      </c>
      <c r="Z8" s="12">
        <v>45974</v>
      </c>
      <c r="AA8" s="13">
        <v>0.1099999998749408</v>
      </c>
      <c r="AB8" s="13">
        <v>0.10999999996973608</v>
      </c>
      <c r="AC8" s="14" t="s">
        <v>114</v>
      </c>
      <c r="AD8" s="15" t="s">
        <v>124</v>
      </c>
    </row>
    <row r="9" spans="1:30" x14ac:dyDescent="0.25">
      <c r="A9" s="5">
        <v>8</v>
      </c>
      <c r="B9" s="6" t="s">
        <v>125</v>
      </c>
      <c r="C9" s="7" t="s">
        <v>125</v>
      </c>
      <c r="D9" s="7" t="s">
        <v>125</v>
      </c>
      <c r="E9" s="7" t="s">
        <v>73</v>
      </c>
      <c r="F9" s="7" t="s">
        <v>126</v>
      </c>
      <c r="G9" s="8">
        <v>1372.5805700000001</v>
      </c>
      <c r="H9" s="8">
        <v>430.5498189000001</v>
      </c>
      <c r="I9" s="8">
        <v>35</v>
      </c>
      <c r="J9" s="8">
        <v>465.5498189000001</v>
      </c>
      <c r="K9" s="8">
        <v>194</v>
      </c>
      <c r="L9" s="9">
        <v>942.03075109999997</v>
      </c>
      <c r="M9" s="8">
        <v>74.732390099999975</v>
      </c>
      <c r="N9" s="8">
        <v>0</v>
      </c>
      <c r="O9" s="8" t="s">
        <v>127</v>
      </c>
      <c r="P9" s="10">
        <v>0.31367908617561158</v>
      </c>
      <c r="Q9" s="11" t="s">
        <v>128</v>
      </c>
      <c r="R9" s="11" t="s">
        <v>129</v>
      </c>
      <c r="S9" s="11" t="s">
        <v>130</v>
      </c>
      <c r="T9" s="11" t="s">
        <v>131</v>
      </c>
      <c r="U9" s="11" t="s">
        <v>132</v>
      </c>
      <c r="V9" s="11" t="s">
        <v>133</v>
      </c>
      <c r="W9" s="11" t="s">
        <v>134</v>
      </c>
      <c r="X9" s="11" t="s">
        <v>135</v>
      </c>
      <c r="Y9" s="11" t="s">
        <v>136</v>
      </c>
      <c r="Z9" s="12">
        <v>45967</v>
      </c>
      <c r="AA9" s="13">
        <v>0.16973100550277276</v>
      </c>
      <c r="AB9" s="13">
        <v>0.11441806775377272</v>
      </c>
      <c r="AC9" s="14" t="s">
        <v>125</v>
      </c>
      <c r="AD9" s="15" t="s">
        <v>137</v>
      </c>
    </row>
    <row r="10" spans="1:30" x14ac:dyDescent="0.25">
      <c r="A10" s="5">
        <v>9</v>
      </c>
      <c r="B10" s="6" t="s">
        <v>138</v>
      </c>
      <c r="C10" s="7" t="s">
        <v>139</v>
      </c>
      <c r="D10" s="7" t="s">
        <v>138</v>
      </c>
      <c r="E10" s="7" t="s">
        <v>32</v>
      </c>
      <c r="F10" s="7" t="s">
        <v>126</v>
      </c>
      <c r="G10" s="8">
        <v>5337.5</v>
      </c>
      <c r="H10" s="8">
        <v>3431.25</v>
      </c>
      <c r="I10" s="8">
        <v>890</v>
      </c>
      <c r="J10" s="8">
        <v>4321.25</v>
      </c>
      <c r="K10" s="8">
        <v>923</v>
      </c>
      <c r="L10" s="9">
        <v>1906.25</v>
      </c>
      <c r="M10" s="8">
        <v>762.5</v>
      </c>
      <c r="N10" s="8">
        <v>0</v>
      </c>
      <c r="O10" s="8" t="s">
        <v>140</v>
      </c>
      <c r="P10" s="10">
        <v>0.6428571428571429</v>
      </c>
      <c r="Q10" s="11" t="s">
        <v>75</v>
      </c>
      <c r="R10" s="11" t="s">
        <v>141</v>
      </c>
      <c r="S10" s="11" t="s">
        <v>142</v>
      </c>
      <c r="T10" s="11" t="s">
        <v>143</v>
      </c>
      <c r="U10" s="11" t="s">
        <v>144</v>
      </c>
      <c r="V10" s="11" t="s">
        <v>145</v>
      </c>
      <c r="W10" s="11" t="s">
        <v>146</v>
      </c>
      <c r="X10" s="11" t="s">
        <v>135</v>
      </c>
      <c r="Y10" s="11" t="s">
        <v>147</v>
      </c>
      <c r="Z10" s="12">
        <v>45967</v>
      </c>
      <c r="AA10" s="13">
        <v>0.34945618360655739</v>
      </c>
      <c r="AB10" s="13">
        <v>0.51229508024724535</v>
      </c>
      <c r="AC10" s="14" t="s">
        <v>139</v>
      </c>
      <c r="AD10" s="15" t="s">
        <v>148</v>
      </c>
    </row>
    <row r="11" spans="1:30" x14ac:dyDescent="0.25">
      <c r="A11" s="5">
        <v>10</v>
      </c>
      <c r="B11" s="6" t="s">
        <v>149</v>
      </c>
      <c r="C11" s="7" t="s">
        <v>150</v>
      </c>
      <c r="D11" s="7" t="s">
        <v>150</v>
      </c>
      <c r="E11" s="7" t="s">
        <v>151</v>
      </c>
      <c r="F11" s="7" t="s">
        <v>152</v>
      </c>
      <c r="G11" s="8">
        <v>680.69294500000001</v>
      </c>
      <c r="H11" s="8">
        <v>257.29620160000007</v>
      </c>
      <c r="I11" s="8">
        <v>7.0000000000000009</v>
      </c>
      <c r="J11" s="8">
        <v>264.29620160000007</v>
      </c>
      <c r="K11" s="8">
        <v>70</v>
      </c>
      <c r="L11" s="9">
        <v>423.39674339999993</v>
      </c>
      <c r="M11" s="8">
        <v>38.191476400000006</v>
      </c>
      <c r="N11" s="8">
        <v>0</v>
      </c>
      <c r="O11" s="8" t="s">
        <v>153</v>
      </c>
      <c r="P11" s="10">
        <v>0.37799157974231695</v>
      </c>
      <c r="Q11" s="11" t="s">
        <v>35</v>
      </c>
      <c r="R11" s="11" t="s">
        <v>154</v>
      </c>
      <c r="S11" s="11" t="s">
        <v>37</v>
      </c>
      <c r="T11" s="11" t="s">
        <v>155</v>
      </c>
      <c r="U11" s="11" t="s">
        <v>156</v>
      </c>
      <c r="V11" s="11" t="s">
        <v>157</v>
      </c>
      <c r="W11" s="11" t="s">
        <v>158</v>
      </c>
      <c r="X11" s="11" t="s">
        <v>135</v>
      </c>
      <c r="Y11" s="11">
        <v>0</v>
      </c>
      <c r="Z11" s="12">
        <v>45960</v>
      </c>
      <c r="AA11" s="13">
        <v>-1.2010821392234354</v>
      </c>
      <c r="AB11" s="13">
        <v>0.12040585230689282</v>
      </c>
      <c r="AC11" s="14" t="s">
        <v>150</v>
      </c>
      <c r="AD11" s="15" t="s">
        <v>159</v>
      </c>
    </row>
    <row r="12" spans="1:30" x14ac:dyDescent="0.25">
      <c r="A12" s="5">
        <v>11</v>
      </c>
      <c r="B12" s="6" t="s">
        <v>160</v>
      </c>
      <c r="C12" s="7" t="s">
        <v>161</v>
      </c>
      <c r="D12" s="7" t="s">
        <v>161</v>
      </c>
      <c r="E12" s="7" t="s">
        <v>73</v>
      </c>
      <c r="F12" s="7" t="s">
        <v>126</v>
      </c>
      <c r="G12" s="8">
        <v>1045.762712</v>
      </c>
      <c r="H12" s="8">
        <v>709.40253320000011</v>
      </c>
      <c r="I12" s="8">
        <v>0</v>
      </c>
      <c r="J12" s="8">
        <v>709.40253320000011</v>
      </c>
      <c r="K12" s="8">
        <v>0</v>
      </c>
      <c r="L12" s="9">
        <v>336.36017879999986</v>
      </c>
      <c r="M12" s="8">
        <v>-0.59409959999999995</v>
      </c>
      <c r="N12" s="8">
        <v>0</v>
      </c>
      <c r="O12" s="8" t="s">
        <v>162</v>
      </c>
      <c r="P12" s="10">
        <v>0.6783589862783328</v>
      </c>
      <c r="Q12" s="11" t="s">
        <v>163</v>
      </c>
      <c r="R12" s="11" t="s">
        <v>164</v>
      </c>
      <c r="S12" s="11" t="s">
        <v>165</v>
      </c>
      <c r="T12" s="11" t="s">
        <v>166</v>
      </c>
      <c r="U12" s="11" t="s">
        <v>167</v>
      </c>
      <c r="V12" s="11" t="s">
        <v>168</v>
      </c>
      <c r="W12" s="11" t="s">
        <v>169</v>
      </c>
      <c r="X12" s="11" t="s">
        <v>135</v>
      </c>
      <c r="Y12" s="11" t="s">
        <v>170</v>
      </c>
      <c r="Z12" s="12">
        <v>45954</v>
      </c>
      <c r="AA12" s="13">
        <v>-0.51352273844110385</v>
      </c>
      <c r="AB12" s="13">
        <v>0.18000000439604424</v>
      </c>
      <c r="AC12" s="14" t="s">
        <v>161</v>
      </c>
      <c r="AD12" s="15" t="s">
        <v>171</v>
      </c>
    </row>
    <row r="13" spans="1:30" x14ac:dyDescent="0.25">
      <c r="A13" s="5">
        <v>12</v>
      </c>
      <c r="B13" s="6" t="s">
        <v>172</v>
      </c>
      <c r="C13" s="7" t="s">
        <v>173</v>
      </c>
      <c r="D13" s="7" t="s">
        <v>172</v>
      </c>
      <c r="E13" s="7" t="s">
        <v>73</v>
      </c>
      <c r="F13" s="7" t="s">
        <v>126</v>
      </c>
      <c r="G13" s="8">
        <v>2019.8763390000001</v>
      </c>
      <c r="H13" s="8">
        <v>331.99717679999998</v>
      </c>
      <c r="I13" s="8">
        <v>0</v>
      </c>
      <c r="J13" s="8">
        <v>331.99717679999998</v>
      </c>
      <c r="K13" s="8">
        <v>0</v>
      </c>
      <c r="L13" s="9">
        <v>1687.8791622000001</v>
      </c>
      <c r="M13" s="8">
        <v>171.16043740000003</v>
      </c>
      <c r="N13" s="8">
        <v>0</v>
      </c>
      <c r="O13" s="8" t="s">
        <v>153</v>
      </c>
      <c r="P13" s="10">
        <v>0.1643651001745805</v>
      </c>
      <c r="Q13" s="11" t="s">
        <v>75</v>
      </c>
      <c r="R13" s="11" t="s">
        <v>174</v>
      </c>
      <c r="S13" s="11">
        <v>0</v>
      </c>
      <c r="T13" s="11" t="s">
        <v>175</v>
      </c>
      <c r="U13" s="11" t="s">
        <v>176</v>
      </c>
      <c r="V13" s="11" t="s">
        <v>177</v>
      </c>
      <c r="W13" s="11" t="s">
        <v>178</v>
      </c>
      <c r="X13" s="11" t="s">
        <v>135</v>
      </c>
      <c r="Y13" s="11" t="s">
        <v>179</v>
      </c>
      <c r="Z13" s="12">
        <v>45960</v>
      </c>
      <c r="AA13" s="13">
        <v>0.20489999986167973</v>
      </c>
      <c r="AB13" s="13">
        <v>0.2046391013686556</v>
      </c>
      <c r="AC13" s="14" t="s">
        <v>173</v>
      </c>
      <c r="AD13" s="15" t="s">
        <v>171</v>
      </c>
    </row>
    <row r="14" spans="1:30" x14ac:dyDescent="0.25">
      <c r="A14" s="5">
        <v>13</v>
      </c>
      <c r="B14" s="6" t="s">
        <v>180</v>
      </c>
      <c r="C14" s="7" t="s">
        <v>181</v>
      </c>
      <c r="D14" s="7" t="s">
        <v>182</v>
      </c>
      <c r="E14" s="7" t="s">
        <v>73</v>
      </c>
      <c r="F14" s="7" t="s">
        <v>126</v>
      </c>
      <c r="G14" s="8">
        <v>2903.04126</v>
      </c>
      <c r="H14" s="8">
        <v>1722.0305597000006</v>
      </c>
      <c r="I14" s="8">
        <v>13</v>
      </c>
      <c r="J14" s="8">
        <v>1735.0305597000006</v>
      </c>
      <c r="K14" s="8">
        <v>978.99999999999989</v>
      </c>
      <c r="L14" s="9">
        <v>1181.0107002999994</v>
      </c>
      <c r="M14" s="8">
        <v>54.821240000000003</v>
      </c>
      <c r="N14" s="8">
        <v>0</v>
      </c>
      <c r="O14" s="8" t="s">
        <v>183</v>
      </c>
      <c r="P14" s="10">
        <v>0.59318156563162339</v>
      </c>
      <c r="Q14" s="11" t="s">
        <v>75</v>
      </c>
      <c r="R14" s="11" t="s">
        <v>184</v>
      </c>
      <c r="S14" s="11" t="s">
        <v>185</v>
      </c>
      <c r="T14" s="11" t="s">
        <v>186</v>
      </c>
      <c r="U14" s="11" t="s">
        <v>187</v>
      </c>
      <c r="V14" s="11" t="s">
        <v>188</v>
      </c>
      <c r="W14" s="11" t="s">
        <v>189</v>
      </c>
      <c r="X14" s="11" t="s">
        <v>135</v>
      </c>
      <c r="Y14" s="11" t="s">
        <v>190</v>
      </c>
      <c r="Z14" s="12">
        <v>45974</v>
      </c>
      <c r="AA14" s="13">
        <v>5.8906222519107154E-2</v>
      </c>
      <c r="AB14" s="13">
        <v>-0.204144834903355</v>
      </c>
      <c r="AC14" s="14" t="s">
        <v>181</v>
      </c>
      <c r="AD14" s="15" t="s">
        <v>191</v>
      </c>
    </row>
    <row r="15" spans="1:30" x14ac:dyDescent="0.25">
      <c r="A15" s="5">
        <v>14</v>
      </c>
      <c r="B15" s="6" t="s">
        <v>192</v>
      </c>
      <c r="C15" s="7" t="s">
        <v>193</v>
      </c>
      <c r="D15" s="7" t="s">
        <v>193</v>
      </c>
      <c r="E15" s="7" t="s">
        <v>73</v>
      </c>
      <c r="F15" s="7" t="s">
        <v>87</v>
      </c>
      <c r="G15" s="8">
        <v>1047.3630700000001</v>
      </c>
      <c r="H15" s="8">
        <v>162.96677500000001</v>
      </c>
      <c r="I15" s="8">
        <v>0</v>
      </c>
      <c r="J15" s="8">
        <v>162.96677500000001</v>
      </c>
      <c r="K15" s="8">
        <v>114.99999999999999</v>
      </c>
      <c r="L15" s="9">
        <v>884.39629500000012</v>
      </c>
      <c r="M15" s="8">
        <v>0</v>
      </c>
      <c r="N15" s="8">
        <v>0</v>
      </c>
      <c r="O15" s="8" t="s">
        <v>194</v>
      </c>
      <c r="P15" s="10">
        <v>0.15559721329490833</v>
      </c>
      <c r="Q15" s="11" t="s">
        <v>195</v>
      </c>
      <c r="R15" s="11" t="s">
        <v>196</v>
      </c>
      <c r="S15" s="11" t="s">
        <v>197</v>
      </c>
      <c r="T15" s="11" t="s">
        <v>198</v>
      </c>
      <c r="U15" s="11" t="s">
        <v>199</v>
      </c>
      <c r="V15" s="11" t="s">
        <v>200</v>
      </c>
      <c r="W15" s="11" t="s">
        <v>201</v>
      </c>
      <c r="X15" s="11" t="s">
        <v>202</v>
      </c>
      <c r="Y15" s="11" t="s">
        <v>203</v>
      </c>
      <c r="Z15" s="12">
        <v>45967</v>
      </c>
      <c r="AA15" s="13" t="s">
        <v>97</v>
      </c>
      <c r="AB15" s="13">
        <v>-9.5509698226650848</v>
      </c>
      <c r="AC15" s="14" t="s">
        <v>193</v>
      </c>
      <c r="AD15" s="15" t="s">
        <v>204</v>
      </c>
    </row>
    <row r="16" spans="1:30" x14ac:dyDescent="0.25">
      <c r="A16" s="5">
        <v>15</v>
      </c>
      <c r="B16" s="6" t="s">
        <v>205</v>
      </c>
      <c r="C16" s="7" t="s">
        <v>206</v>
      </c>
      <c r="D16" s="7" t="s">
        <v>205</v>
      </c>
      <c r="E16" s="7" t="s">
        <v>207</v>
      </c>
      <c r="F16" s="7" t="s">
        <v>126</v>
      </c>
      <c r="G16" s="8">
        <v>669.18430290000003</v>
      </c>
      <c r="H16" s="8">
        <v>662.96125290000009</v>
      </c>
      <c r="I16" s="8">
        <v>6</v>
      </c>
      <c r="J16" s="8">
        <v>668.96125290000009</v>
      </c>
      <c r="K16" s="8">
        <v>426</v>
      </c>
      <c r="L16" s="9">
        <v>6.2230499999999438</v>
      </c>
      <c r="M16" s="8">
        <v>347.80687999999998</v>
      </c>
      <c r="N16" s="8">
        <v>0</v>
      </c>
      <c r="O16" s="8" t="s">
        <v>208</v>
      </c>
      <c r="P16" s="10">
        <v>0.9907005439711728</v>
      </c>
      <c r="Q16" s="16" t="s">
        <v>209</v>
      </c>
      <c r="R16" s="11" t="s">
        <v>210</v>
      </c>
      <c r="S16" s="11" t="s">
        <v>211</v>
      </c>
      <c r="T16" s="11" t="s">
        <v>198</v>
      </c>
      <c r="U16" s="11" t="s">
        <v>212</v>
      </c>
      <c r="V16" s="11" t="s">
        <v>213</v>
      </c>
      <c r="W16" s="11" t="s">
        <v>214</v>
      </c>
      <c r="X16" s="11" t="s">
        <v>135</v>
      </c>
      <c r="Y16" s="11" t="s">
        <v>215</v>
      </c>
      <c r="Z16" s="12">
        <v>45974</v>
      </c>
      <c r="AA16" s="13">
        <v>0.21114271514376304</v>
      </c>
      <c r="AB16" s="13">
        <v>0.20000000003501683</v>
      </c>
      <c r="AC16" s="14" t="s">
        <v>206</v>
      </c>
      <c r="AD16" s="15" t="s">
        <v>216</v>
      </c>
    </row>
    <row r="17" spans="1:30" x14ac:dyDescent="0.25">
      <c r="A17" s="5">
        <v>16</v>
      </c>
      <c r="B17" s="6" t="s">
        <v>217</v>
      </c>
      <c r="C17" s="7" t="s">
        <v>218</v>
      </c>
      <c r="D17" s="7" t="s">
        <v>219</v>
      </c>
      <c r="E17" s="7" t="s">
        <v>73</v>
      </c>
      <c r="F17" s="7" t="s">
        <v>126</v>
      </c>
      <c r="G17" s="8">
        <v>437.16408000000001</v>
      </c>
      <c r="H17" s="8">
        <v>433.08388200000002</v>
      </c>
      <c r="I17" s="8">
        <v>144</v>
      </c>
      <c r="J17" s="8">
        <v>577.08388200000002</v>
      </c>
      <c r="K17" s="8">
        <v>188</v>
      </c>
      <c r="L17" s="9">
        <v>4.0801979999999958</v>
      </c>
      <c r="M17" s="8">
        <v>433.08388200000002</v>
      </c>
      <c r="N17" s="8">
        <v>0</v>
      </c>
      <c r="O17" s="8" t="s">
        <v>220</v>
      </c>
      <c r="P17" s="10">
        <v>0.99066666684966431</v>
      </c>
      <c r="Q17" s="11" t="s">
        <v>35</v>
      </c>
      <c r="R17" s="11" t="s">
        <v>221</v>
      </c>
      <c r="S17" s="11" t="s">
        <v>222</v>
      </c>
      <c r="T17" s="11" t="s">
        <v>223</v>
      </c>
      <c r="U17" s="11" t="s">
        <v>224</v>
      </c>
      <c r="V17" s="11" t="s">
        <v>225</v>
      </c>
      <c r="W17" s="11" t="s">
        <v>226</v>
      </c>
      <c r="X17" s="11" t="s">
        <v>135</v>
      </c>
      <c r="Y17" s="11" t="s">
        <v>227</v>
      </c>
      <c r="Z17" s="12">
        <v>45973</v>
      </c>
      <c r="AA17" s="13">
        <v>0.60186008759672394</v>
      </c>
      <c r="AB17" s="13" t="s">
        <v>97</v>
      </c>
      <c r="AC17" s="14" t="s">
        <v>218</v>
      </c>
      <c r="AD17" s="15" t="s">
        <v>228</v>
      </c>
    </row>
    <row r="18" spans="1:30" x14ac:dyDescent="0.25">
      <c r="A18" s="5">
        <v>17</v>
      </c>
      <c r="B18" s="6" t="s">
        <v>229</v>
      </c>
      <c r="C18" s="7" t="s">
        <v>230</v>
      </c>
      <c r="D18" s="7" t="s">
        <v>231</v>
      </c>
      <c r="E18" s="7" t="s">
        <v>73</v>
      </c>
      <c r="F18" s="7" t="s">
        <v>232</v>
      </c>
      <c r="G18" s="8">
        <v>171.31355932203391</v>
      </c>
      <c r="H18" s="8">
        <v>171.31355930000001</v>
      </c>
      <c r="I18" s="8">
        <v>0</v>
      </c>
      <c r="J18" s="8">
        <v>171.31355930000001</v>
      </c>
      <c r="K18" s="8">
        <v>51</v>
      </c>
      <c r="L18" s="9">
        <v>2.2033901814211276E-8</v>
      </c>
      <c r="M18" s="8">
        <v>171.31355930000001</v>
      </c>
      <c r="N18" s="8">
        <v>0</v>
      </c>
      <c r="O18" s="8" t="s">
        <v>233</v>
      </c>
      <c r="P18" s="10">
        <v>0.99999999987138266</v>
      </c>
      <c r="Q18" s="11" t="s">
        <v>234</v>
      </c>
      <c r="R18" s="11" t="s">
        <v>235</v>
      </c>
      <c r="S18" s="11" t="s">
        <v>236</v>
      </c>
      <c r="T18" s="11" t="s">
        <v>237</v>
      </c>
      <c r="U18" s="30" t="s">
        <v>331</v>
      </c>
      <c r="V18" s="11" t="s">
        <v>238</v>
      </c>
      <c r="W18" s="11" t="s">
        <v>239</v>
      </c>
      <c r="X18" s="11" t="s">
        <v>240</v>
      </c>
      <c r="Y18" s="11" t="s">
        <v>241</v>
      </c>
      <c r="Z18" s="12">
        <v>45974</v>
      </c>
      <c r="AA18" s="13">
        <v>0.22378829916704679</v>
      </c>
      <c r="AB18" s="13" t="s">
        <v>97</v>
      </c>
      <c r="AC18" s="14" t="s">
        <v>230</v>
      </c>
      <c r="AD18" s="15" t="s">
        <v>242</v>
      </c>
    </row>
    <row r="19" spans="1:30" x14ac:dyDescent="0.25">
      <c r="A19" s="5">
        <v>18</v>
      </c>
      <c r="B19" s="6" t="s">
        <v>243</v>
      </c>
      <c r="C19" s="7" t="s">
        <v>244</v>
      </c>
      <c r="D19" s="7" t="s">
        <v>245</v>
      </c>
      <c r="E19" s="7" t="s">
        <v>32</v>
      </c>
      <c r="F19" s="7" t="s">
        <v>87</v>
      </c>
      <c r="G19" s="8">
        <v>111.36</v>
      </c>
      <c r="H19" s="8">
        <v>33.408000000000001</v>
      </c>
      <c r="I19" s="8">
        <v>0</v>
      </c>
      <c r="J19" s="8">
        <v>33.408000000000001</v>
      </c>
      <c r="K19" s="8">
        <v>0</v>
      </c>
      <c r="L19" s="9">
        <v>77.951999999999998</v>
      </c>
      <c r="M19" s="8">
        <v>33.408000000000001</v>
      </c>
      <c r="N19" s="8">
        <v>0</v>
      </c>
      <c r="O19" s="8" t="s">
        <v>246</v>
      </c>
      <c r="P19" s="10">
        <v>0.3</v>
      </c>
      <c r="Q19" s="11" t="s">
        <v>247</v>
      </c>
      <c r="R19" s="11" t="s">
        <v>248</v>
      </c>
      <c r="S19" s="11" t="s">
        <v>249</v>
      </c>
      <c r="T19" s="11" t="s">
        <v>250</v>
      </c>
      <c r="U19" s="11" t="s">
        <v>251</v>
      </c>
      <c r="V19" s="11" t="s">
        <v>252</v>
      </c>
      <c r="W19" s="11" t="s">
        <v>253</v>
      </c>
      <c r="X19" s="11" t="s">
        <v>254</v>
      </c>
      <c r="Y19" s="11" t="s">
        <v>255</v>
      </c>
      <c r="Z19" s="12">
        <v>45967</v>
      </c>
      <c r="AA19" s="13">
        <v>0.86590914152298848</v>
      </c>
      <c r="AB19" s="13" t="s">
        <v>97</v>
      </c>
      <c r="AC19" s="14" t="s">
        <v>244</v>
      </c>
      <c r="AD19" s="15" t="s">
        <v>98</v>
      </c>
    </row>
    <row r="20" spans="1:30" x14ac:dyDescent="0.25">
      <c r="A20" s="5">
        <v>19</v>
      </c>
      <c r="B20" s="6" t="s">
        <v>256</v>
      </c>
      <c r="C20" s="7" t="s">
        <v>256</v>
      </c>
      <c r="D20" s="7" t="s">
        <v>257</v>
      </c>
      <c r="E20" s="7" t="s">
        <v>32</v>
      </c>
      <c r="F20" s="7" t="s">
        <v>87</v>
      </c>
      <c r="G20" s="8">
        <v>218.28</v>
      </c>
      <c r="H20" s="8">
        <v>0</v>
      </c>
      <c r="I20" s="8">
        <v>0</v>
      </c>
      <c r="J20" s="8">
        <v>0</v>
      </c>
      <c r="K20" s="8">
        <v>0</v>
      </c>
      <c r="L20" s="9">
        <v>218.28</v>
      </c>
      <c r="M20" s="8">
        <v>0</v>
      </c>
      <c r="N20" s="8">
        <v>0</v>
      </c>
      <c r="O20" s="17" t="s">
        <v>258</v>
      </c>
      <c r="P20" s="10">
        <v>0</v>
      </c>
      <c r="Q20" s="11" t="s">
        <v>135</v>
      </c>
      <c r="R20" s="11" t="s">
        <v>259</v>
      </c>
      <c r="S20" s="11" t="s">
        <v>260</v>
      </c>
      <c r="T20" s="11" t="s">
        <v>135</v>
      </c>
      <c r="U20" s="11" t="s">
        <v>261</v>
      </c>
      <c r="V20" s="11" t="s">
        <v>262</v>
      </c>
      <c r="W20" s="11" t="s">
        <v>263</v>
      </c>
      <c r="X20" s="11">
        <v>0</v>
      </c>
      <c r="Y20" s="11" t="s">
        <v>264</v>
      </c>
      <c r="Z20" s="12">
        <v>45926</v>
      </c>
      <c r="AA20" s="13" t="s">
        <v>97</v>
      </c>
      <c r="AB20" s="13" t="s">
        <v>97</v>
      </c>
      <c r="AC20" s="14" t="s">
        <v>256</v>
      </c>
      <c r="AD20" s="15" t="s">
        <v>265</v>
      </c>
    </row>
    <row r="21" spans="1:30" x14ac:dyDescent="0.25">
      <c r="A21" s="5">
        <v>20</v>
      </c>
      <c r="B21" s="6" t="s">
        <v>266</v>
      </c>
      <c r="C21" s="7" t="s">
        <v>267</v>
      </c>
      <c r="D21" s="7" t="s">
        <v>268</v>
      </c>
      <c r="E21" s="7" t="s">
        <v>32</v>
      </c>
      <c r="F21" s="7" t="s">
        <v>33</v>
      </c>
      <c r="G21" s="8">
        <v>509.88</v>
      </c>
      <c r="H21" s="8">
        <v>0</v>
      </c>
      <c r="I21" s="8">
        <v>10</v>
      </c>
      <c r="J21" s="8">
        <v>10</v>
      </c>
      <c r="K21" s="8">
        <v>0</v>
      </c>
      <c r="L21" s="9">
        <v>509.88</v>
      </c>
      <c r="M21" s="8">
        <v>0</v>
      </c>
      <c r="N21" s="8">
        <v>0</v>
      </c>
      <c r="O21" s="8" t="s">
        <v>269</v>
      </c>
      <c r="P21" s="10">
        <v>0</v>
      </c>
      <c r="Q21" s="11" t="s">
        <v>35</v>
      </c>
      <c r="R21" s="11" t="s">
        <v>270</v>
      </c>
      <c r="S21" s="11" t="s">
        <v>185</v>
      </c>
      <c r="T21" s="11" t="s">
        <v>271</v>
      </c>
      <c r="U21" s="11" t="s">
        <v>272</v>
      </c>
      <c r="V21" s="11" t="s">
        <v>273</v>
      </c>
      <c r="W21" s="11" t="s">
        <v>274</v>
      </c>
      <c r="X21" s="11" t="s">
        <v>275</v>
      </c>
      <c r="Y21" s="11">
        <v>0</v>
      </c>
      <c r="Z21" s="12">
        <v>45973</v>
      </c>
      <c r="AA21" s="13">
        <v>0.34652488000000004</v>
      </c>
      <c r="AB21" s="13" t="s">
        <v>97</v>
      </c>
      <c r="AC21" s="14" t="s">
        <v>267</v>
      </c>
      <c r="AD21" s="15" t="s">
        <v>276</v>
      </c>
    </row>
    <row r="22" spans="1:30" x14ac:dyDescent="0.25">
      <c r="A22" s="5">
        <v>21</v>
      </c>
      <c r="B22" s="6" t="s">
        <v>277</v>
      </c>
      <c r="C22" s="7" t="s">
        <v>278</v>
      </c>
      <c r="D22" s="7" t="s">
        <v>279</v>
      </c>
      <c r="E22" s="7" t="s">
        <v>73</v>
      </c>
      <c r="F22" s="7"/>
      <c r="G22" s="8">
        <v>0</v>
      </c>
      <c r="H22" s="8">
        <v>0</v>
      </c>
      <c r="I22" s="8">
        <v>0</v>
      </c>
      <c r="J22" s="8">
        <v>0</v>
      </c>
      <c r="K22" s="8">
        <v>0</v>
      </c>
      <c r="L22" s="9">
        <v>0</v>
      </c>
      <c r="M22" s="8">
        <v>0</v>
      </c>
      <c r="N22" s="8">
        <v>0</v>
      </c>
      <c r="O22" s="8" t="s">
        <v>280</v>
      </c>
      <c r="P22" s="10">
        <v>0</v>
      </c>
      <c r="Q22" s="11">
        <v>0</v>
      </c>
      <c r="R22" s="11" t="s">
        <v>281</v>
      </c>
      <c r="S22" s="11" t="s">
        <v>135</v>
      </c>
      <c r="T22" s="11" t="s">
        <v>282</v>
      </c>
      <c r="U22" s="11" t="s">
        <v>283</v>
      </c>
      <c r="V22" s="11" t="s">
        <v>284</v>
      </c>
      <c r="W22" s="11" t="s">
        <v>285</v>
      </c>
      <c r="X22" s="11" t="s">
        <v>135</v>
      </c>
      <c r="Y22" s="11" t="s">
        <v>286</v>
      </c>
      <c r="Z22" s="12">
        <v>45925</v>
      </c>
      <c r="AA22" s="13" t="s">
        <v>97</v>
      </c>
      <c r="AB22" s="13" t="s">
        <v>97</v>
      </c>
      <c r="AC22" s="14" t="s">
        <v>278</v>
      </c>
      <c r="AD22" s="15" t="s">
        <v>287</v>
      </c>
    </row>
    <row r="23" spans="1:30" x14ac:dyDescent="0.25">
      <c r="A23" s="5">
        <v>22</v>
      </c>
      <c r="B23" s="6" t="s">
        <v>288</v>
      </c>
      <c r="C23" s="7" t="s">
        <v>289</v>
      </c>
      <c r="D23" s="7" t="s">
        <v>290</v>
      </c>
      <c r="E23" s="7" t="s">
        <v>151</v>
      </c>
      <c r="F23" s="7" t="s">
        <v>152</v>
      </c>
      <c r="G23" s="8">
        <v>6660.9289406779662</v>
      </c>
      <c r="H23" s="8">
        <v>6209.0702939000003</v>
      </c>
      <c r="I23" s="8">
        <v>0</v>
      </c>
      <c r="J23" s="8">
        <v>6209.0702939000003</v>
      </c>
      <c r="K23" s="8">
        <v>0</v>
      </c>
      <c r="L23" s="9">
        <v>451.85864677796599</v>
      </c>
      <c r="M23" s="8">
        <v>157.10576839999999</v>
      </c>
      <c r="N23" s="8">
        <v>0</v>
      </c>
      <c r="O23" s="8" t="s">
        <v>291</v>
      </c>
      <c r="P23" s="10">
        <v>0.93216281830924697</v>
      </c>
      <c r="Q23" s="11" t="s">
        <v>75</v>
      </c>
      <c r="R23" s="11" t="s">
        <v>292</v>
      </c>
      <c r="S23" s="11" t="e">
        <v>#N/A</v>
      </c>
      <c r="T23" s="11" t="s">
        <v>293</v>
      </c>
      <c r="U23" s="11" t="s">
        <v>294</v>
      </c>
      <c r="V23" s="11" t="s">
        <v>332</v>
      </c>
      <c r="W23" s="11" t="s">
        <v>332</v>
      </c>
      <c r="X23" s="11" t="s">
        <v>295</v>
      </c>
      <c r="Y23" s="11" t="s">
        <v>332</v>
      </c>
      <c r="Z23" s="12">
        <v>0</v>
      </c>
      <c r="AA23" s="13">
        <v>0.42434365454578726</v>
      </c>
      <c r="AB23" s="13">
        <v>4.7055080021901952E-2</v>
      </c>
      <c r="AC23" s="14" t="e">
        <v>#N/A</v>
      </c>
      <c r="AD23" s="15" t="s">
        <v>296</v>
      </c>
    </row>
    <row r="24" spans="1:30" x14ac:dyDescent="0.25">
      <c r="A24" s="5">
        <v>23</v>
      </c>
      <c r="B24" s="6" t="s">
        <v>297</v>
      </c>
      <c r="C24" s="7" t="s">
        <v>298</v>
      </c>
      <c r="D24" s="7" t="s">
        <v>298</v>
      </c>
      <c r="E24" s="7" t="s">
        <v>207</v>
      </c>
      <c r="F24" s="7" t="s">
        <v>126</v>
      </c>
      <c r="G24" s="8">
        <v>360.9787</v>
      </c>
      <c r="H24" s="8">
        <v>126.342545</v>
      </c>
      <c r="I24" s="8">
        <v>0</v>
      </c>
      <c r="J24" s="8">
        <v>126.342545</v>
      </c>
      <c r="K24" s="8">
        <v>0</v>
      </c>
      <c r="L24" s="9">
        <v>234.636155</v>
      </c>
      <c r="M24" s="8">
        <v>90.244675000000001</v>
      </c>
      <c r="N24" s="8">
        <v>0</v>
      </c>
      <c r="O24" s="8" t="s">
        <v>299</v>
      </c>
      <c r="P24" s="10">
        <v>0.35</v>
      </c>
      <c r="Q24" s="11" t="s">
        <v>75</v>
      </c>
      <c r="R24" s="11" t="s">
        <v>300</v>
      </c>
      <c r="S24" s="11" t="s">
        <v>185</v>
      </c>
      <c r="T24" s="11" t="s">
        <v>301</v>
      </c>
      <c r="U24" s="16" t="s">
        <v>302</v>
      </c>
      <c r="V24" s="11" t="s">
        <v>303</v>
      </c>
      <c r="W24" s="11" t="s">
        <v>304</v>
      </c>
      <c r="X24" s="11" t="s">
        <v>295</v>
      </c>
      <c r="Y24" s="11" t="s">
        <v>305</v>
      </c>
      <c r="Z24" s="12">
        <v>45974</v>
      </c>
      <c r="AA24" s="13">
        <v>0.15841573956451205</v>
      </c>
      <c r="AB24" s="13">
        <v>0.42701644292272078</v>
      </c>
      <c r="AC24" s="14" t="e">
        <v>#N/A</v>
      </c>
      <c r="AD24" s="15" t="s">
        <v>216</v>
      </c>
    </row>
    <row r="25" spans="1:30" x14ac:dyDescent="0.25">
      <c r="A25" s="5">
        <v>24</v>
      </c>
      <c r="B25" s="6" t="s">
        <v>306</v>
      </c>
      <c r="C25" s="7" t="s">
        <v>307</v>
      </c>
      <c r="D25" s="7" t="s">
        <v>307</v>
      </c>
      <c r="E25" s="7" t="s">
        <v>207</v>
      </c>
      <c r="F25" s="7" t="s">
        <v>126</v>
      </c>
      <c r="G25" s="8">
        <v>352.65960000000001</v>
      </c>
      <c r="H25" s="8">
        <v>158.69682</v>
      </c>
      <c r="I25" s="8">
        <v>0</v>
      </c>
      <c r="J25" s="8">
        <v>158.69682</v>
      </c>
      <c r="K25" s="8">
        <v>0</v>
      </c>
      <c r="L25" s="9">
        <v>193.96278000000001</v>
      </c>
      <c r="M25" s="8">
        <v>52.898940000000003</v>
      </c>
      <c r="N25" s="8">
        <v>0</v>
      </c>
      <c r="O25" s="8" t="s">
        <v>299</v>
      </c>
      <c r="P25" s="10">
        <v>0.45</v>
      </c>
      <c r="Q25" s="11" t="s">
        <v>75</v>
      </c>
      <c r="R25" s="11" t="s">
        <v>308</v>
      </c>
      <c r="S25" s="11" t="s">
        <v>309</v>
      </c>
      <c r="T25" s="11" t="s">
        <v>310</v>
      </c>
      <c r="U25" s="16" t="s">
        <v>311</v>
      </c>
      <c r="V25" s="11" t="s">
        <v>312</v>
      </c>
      <c r="W25" s="11" t="s">
        <v>313</v>
      </c>
      <c r="X25" s="11" t="s">
        <v>295</v>
      </c>
      <c r="Y25" s="11" t="s">
        <v>314</v>
      </c>
      <c r="Z25" s="12">
        <v>45974</v>
      </c>
      <c r="AA25" s="13">
        <v>0.54524491322510427</v>
      </c>
      <c r="AB25" s="13">
        <v>0.67739458815242792</v>
      </c>
      <c r="AC25" s="14" t="e">
        <v>#N/A</v>
      </c>
      <c r="AD25" s="15" t="s">
        <v>216</v>
      </c>
    </row>
    <row r="26" spans="1:30" x14ac:dyDescent="0.25">
      <c r="A26" s="5">
        <v>25</v>
      </c>
      <c r="B26" s="6" t="s">
        <v>315</v>
      </c>
      <c r="C26" s="7" t="s">
        <v>316</v>
      </c>
      <c r="D26" s="7" t="s">
        <v>317</v>
      </c>
      <c r="E26" s="7" t="s">
        <v>207</v>
      </c>
      <c r="F26" s="7" t="s">
        <v>232</v>
      </c>
      <c r="G26" s="8">
        <v>1275.816245</v>
      </c>
      <c r="H26" s="8">
        <v>1059.0158557000004</v>
      </c>
      <c r="I26" s="8">
        <v>0</v>
      </c>
      <c r="J26" s="8">
        <v>1059.0158557000004</v>
      </c>
      <c r="K26" s="8">
        <v>0</v>
      </c>
      <c r="L26" s="9">
        <v>216.80038929999955</v>
      </c>
      <c r="M26" s="8">
        <v>0</v>
      </c>
      <c r="N26" s="8">
        <v>0</v>
      </c>
      <c r="O26" s="8" t="s">
        <v>299</v>
      </c>
      <c r="P26" s="10">
        <v>0.83006926730267527</v>
      </c>
      <c r="Q26" s="11" t="s">
        <v>295</v>
      </c>
      <c r="R26" s="11" t="s">
        <v>318</v>
      </c>
      <c r="S26" s="11" t="s">
        <v>211</v>
      </c>
      <c r="T26" s="11" t="s">
        <v>319</v>
      </c>
      <c r="U26" s="16" t="s">
        <v>320</v>
      </c>
      <c r="V26" s="11" t="s">
        <v>321</v>
      </c>
      <c r="W26" s="11" t="s">
        <v>322</v>
      </c>
      <c r="X26" s="11" t="s">
        <v>295</v>
      </c>
      <c r="Y26" s="11" t="s">
        <v>323</v>
      </c>
      <c r="Z26" s="12">
        <v>45974</v>
      </c>
      <c r="AA26" s="13">
        <v>0.68765168853167546</v>
      </c>
      <c r="AB26" s="13">
        <v>0.51174435922491024</v>
      </c>
      <c r="AC26" s="14" t="e">
        <v>#N/A</v>
      </c>
      <c r="AD26" s="15" t="s">
        <v>216</v>
      </c>
    </row>
    <row r="27" spans="1:30" x14ac:dyDescent="0.25">
      <c r="A27" s="5">
        <v>26</v>
      </c>
      <c r="B27" s="6" t="s">
        <v>324</v>
      </c>
      <c r="C27" s="7" t="s">
        <v>325</v>
      </c>
      <c r="D27" s="7" t="s">
        <v>325</v>
      </c>
      <c r="E27" s="7" t="s">
        <v>73</v>
      </c>
      <c r="F27" s="7" t="s">
        <v>126</v>
      </c>
      <c r="G27" s="8">
        <v>0</v>
      </c>
      <c r="H27" s="8">
        <v>0</v>
      </c>
      <c r="I27" s="8">
        <v>0</v>
      </c>
      <c r="J27" s="8">
        <v>0</v>
      </c>
      <c r="K27" s="8">
        <v>0</v>
      </c>
      <c r="L27" s="9">
        <v>0</v>
      </c>
      <c r="M27" s="8">
        <v>0</v>
      </c>
      <c r="N27" s="8">
        <v>0</v>
      </c>
      <c r="O27" s="8" t="s">
        <v>295</v>
      </c>
      <c r="P27" s="10">
        <v>0</v>
      </c>
      <c r="Q27" s="11" t="s">
        <v>295</v>
      </c>
      <c r="R27" s="11" t="s">
        <v>295</v>
      </c>
      <c r="S27" s="11" t="e">
        <v>#N/A</v>
      </c>
      <c r="T27" s="11" t="s">
        <v>295</v>
      </c>
      <c r="U27" s="11" t="s">
        <v>295</v>
      </c>
      <c r="V27" s="11" t="s">
        <v>332</v>
      </c>
      <c r="W27" s="11" t="s">
        <v>332</v>
      </c>
      <c r="X27" s="11" t="s">
        <v>295</v>
      </c>
      <c r="Y27" s="11" t="s">
        <v>332</v>
      </c>
      <c r="Z27" s="12">
        <v>0</v>
      </c>
      <c r="AA27" s="13" t="s">
        <v>97</v>
      </c>
      <c r="AB27" s="13" t="s">
        <v>97</v>
      </c>
      <c r="AC27" s="14" t="e">
        <v>#N/A</v>
      </c>
      <c r="AD27" s="15" t="s">
        <v>326</v>
      </c>
    </row>
    <row r="28" spans="1:30" x14ac:dyDescent="0.25">
      <c r="A28" s="18">
        <v>27</v>
      </c>
      <c r="B28" s="19" t="s">
        <v>327</v>
      </c>
      <c r="C28" s="20" t="s">
        <v>328</v>
      </c>
      <c r="D28" s="20" t="s">
        <v>328</v>
      </c>
      <c r="E28" s="20" t="s">
        <v>73</v>
      </c>
      <c r="F28" s="20" t="s">
        <v>126</v>
      </c>
      <c r="G28" s="21">
        <v>108.12905000000001</v>
      </c>
      <c r="H28" s="21">
        <v>10.812905000000001</v>
      </c>
      <c r="I28" s="21">
        <v>0</v>
      </c>
      <c r="J28" s="21">
        <v>10.812905000000001</v>
      </c>
      <c r="K28" s="21">
        <v>0</v>
      </c>
      <c r="L28" s="22">
        <v>97.316145000000006</v>
      </c>
      <c r="M28" s="21">
        <v>0</v>
      </c>
      <c r="N28" s="21">
        <v>0</v>
      </c>
      <c r="O28" s="21" t="s">
        <v>295</v>
      </c>
      <c r="P28" s="23">
        <v>0.1</v>
      </c>
      <c r="Q28" s="24" t="s">
        <v>295</v>
      </c>
      <c r="R28" s="24" t="s">
        <v>295</v>
      </c>
      <c r="S28" s="24" t="e">
        <v>#N/A</v>
      </c>
      <c r="T28" s="24" t="s">
        <v>295</v>
      </c>
      <c r="U28" s="25" t="s">
        <v>329</v>
      </c>
      <c r="V28" s="24" t="s">
        <v>332</v>
      </c>
      <c r="W28" s="24" t="s">
        <v>332</v>
      </c>
      <c r="X28" s="24" t="s">
        <v>295</v>
      </c>
      <c r="Y28" s="24" t="s">
        <v>332</v>
      </c>
      <c r="Z28" s="26">
        <v>0</v>
      </c>
      <c r="AA28" s="27" t="s">
        <v>97</v>
      </c>
      <c r="AB28" s="27" t="s">
        <v>97</v>
      </c>
      <c r="AC28" s="28" t="e">
        <v>#N/A</v>
      </c>
      <c r="AD28" s="29" t="s">
        <v>330</v>
      </c>
    </row>
  </sheetData>
  <conditionalFormatting sqref="T2:Y28 P2:R28">
    <cfRule type="dataBar" priority="1">
      <dataBar>
        <cfvo type="num" val="0"/>
        <cfvo type="num" val="1"/>
        <color rgb="FF008AEF"/>
      </dataBar>
      <extLst>
        <ext xmlns:x14="http://schemas.microsoft.com/office/spreadsheetml/2009/9/main" uri="{B025F937-C7B1-47D3-B67F-A62EFF666E3E}">
          <x14:id>{CAD3E2A6-5EDE-458F-AC16-5443ECA5AAB7}</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AD3E2A6-5EDE-458F-AC16-5443ECA5AAB7}">
            <x14:dataBar minLength="0" maxLength="100" border="1" negativeBarBorderColorSameAsPositive="0">
              <x14:cfvo type="num">
                <xm:f>0</xm:f>
              </x14:cfvo>
              <x14:cfvo type="num">
                <xm:f>1</xm:f>
              </x14:cfvo>
              <x14:borderColor rgb="FF008AEF"/>
              <x14:negativeFillColor rgb="FFFF0000"/>
              <x14:negativeBorderColor rgb="FFFF0000"/>
              <x14:axisColor rgb="FF000000"/>
            </x14:dataBar>
          </x14:cfRule>
          <xm:sqref>T2:Y28 P2:R28</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Data_summary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AVDHOOT RAO</dc:creator>
  <cp:lastModifiedBy>AVDHOOT RAO</cp:lastModifiedBy>
  <dcterms:created xsi:type="dcterms:W3CDTF">2025-11-13T08:22:16Z</dcterms:created>
  <dcterms:modified xsi:type="dcterms:W3CDTF">2025-11-13T08:22:18Z</dcterms:modified>
</cp:coreProperties>
</file>