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1" documentId="8_{FFEBA155-DDA8-4DA0-852E-4F093CD603E3}" xr6:coauthVersionLast="47" xr6:coauthVersionMax="47" xr10:uidLastSave="{AD6799D2-2DF0-4B6C-B16B-55D98A710DAD}"/>
  <bookViews>
    <workbookView xWindow="-120" yWindow="-120" windowWidth="20730" windowHeight="11040" xr2:uid="{002DF509-9614-4C90-A4E5-BD8AEB6BA534}"/>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<sst xmlns="http://schemas.openxmlformats.org/spreadsheetml/2006/main" count="510" uniqueCount="355">
  <si>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</si>
  <si>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</si>
  <si>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</si>
  <si>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</si>
  <si>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</si>
  <si>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</si>
  <si>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</si>
  <si>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</si>
  <si>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</si>
  <si>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</si>
  <si>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</si>
  <si>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</si>
  <si>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</si>
  <si>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</si>
  <si>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</si>
  <si>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</si>
  <si>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</si>
  <si>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</si>
  <si>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</si>
  <si>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</si>
  <si>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</si>
  <si>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</si>
  <si>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</si>
  <si>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</si>
  <si>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</si>
  <si>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</si>
  <si>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</si>
  <si>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</si>
  <si>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</si>
  <si>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</si>
  <si>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</si>
  <si>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</si>
  <si>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</si>
  <si>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</si>
  <si>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</si>
  <si>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</si>
  <si>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</si>
  <si>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</si>
  <si>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</si>
  <si>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</si>
  <si>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S.no  Bucket name     No. of Tasks
  1.      No Status    =   14
  2.      Estimation   =   10
  3.     Designing    =    9
  4.     To Do        =    15
  5.     In Progress  =    10
  6.     Under QA Testing = 5
  7.     User Acceptance Testing (UAT) = 20
  8.     Released on Production = 282
  9.     Closed       = 124</t>
  </si>
  <si>
    <t xml:space="preserve">2 task planned to deploy </t>
  </si>
  <si>
    <t>HTML,CSS,React,java, spring boot,Elastic,mysql AWS,Postman,Jenkins,CI/CD,Kibana,GIT,Docker</t>
  </si>
  <si>
    <t>1) Need to share the JD for Frontend developer(replacement of Jayshree,)
   As discussed with Mathi and Prashana sir , Sandeep has not knowledge to work on Frontend. They    
   share the same on mail  too.
2) Up to Nov bill submitted 
3) Payment pending 4 months now</t>
  </si>
  <si>
    <t>Amit K</t>
  </si>
  <si>
    <t>SBM-U</t>
  </si>
  <si>
    <t>SWACHH BHARAT MISSION - SBM URBAN</t>
  </si>
  <si>
    <t>SWACHH BHARAT MISSION - SBM</t>
  </si>
  <si>
    <t>Start Date (PO) : 10-Jan-24 :: End Date (PO) : 09-Jan-27</t>
  </si>
  <si>
    <t>27 ((16 resources from GAIA + 11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</si>
  <si>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</si>
  <si>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</si>
  <si>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1. 27 resources on-boarded. (16 resources from GAIA – 11 from CMS)
2. Payment expected for Oct’25 in this week. Invoicing done for Nov’25.
3. DWR mobile app: app shared with 14 ULB for beta testing.
4. New SBM Dashboard ver2.0 (SWM, Legacy waste &amp; Toilets): bug fixing in map done as per PMU comments. Plan to Demo to DS this week. 
5. DRAP Action plan- document prepared, dev ongoing
6. GFC Indicator logic implemented in DB and changes ongoing in UI side.
7. MyToilet App: Testing Completion sign-off given from CERT-IN.
8. Swachhatam portal: Changes ongoing as per findings in CERT-in audit.
9. Website updates ongoing: Trash Tales, Banner Updated.
10. SS Scoring logic and result declaration: understanding excel sheet
11. Interviews ongoing to replace remote developers
12. Integration of DRAP dashboard with DWR mobile app: done on staging
</t>
  </si>
  <si>
    <t xml:space="preserve">1. Maintenance activities: Daily ULB support, Website changes ongoing.
2. New SBM Dashboard 2.0 development: legacy waste &amp; Toilets: testing ongoing by PMU. DWR Mobile App pilot planned for dumpsite in Nov’25.
3. SS Handover : Session on SS scoring &amp; result finalization with IPSOS ongoing. Development setup &amp; Code configuration is ongoing, Mobile App – Code Configuration done. DO App verified, GA verification ongoing.
F2F app dev ongoing
4. Swachh City: working on reports
5. Closure of Cert-In audit findings
6. Working on Factsheet (National, State, ULB Level)
</t>
  </si>
  <si>
    <t>Angular, AWS Cloud, mySQl, Posgresql, NodeJS, Java, MongoDB, RESTAPI, HTML, PHP, MicroService, Quicksight,CSS, Flutter</t>
  </si>
  <si>
    <t>1. Majority of team members working remotely.
2. Mobile Developer (React Nativ) required in project</t>
  </si>
  <si>
    <t>Anoop K</t>
  </si>
  <si>
    <t>ORGI</t>
  </si>
  <si>
    <t>orgi OFFICE OF REGISTRAR GENERAL OF INDIA - CRS</t>
  </si>
  <si>
    <t>OFFICE OF REGISTRAR GENERAL OF INDIA - CRS</t>
  </si>
  <si>
    <t>2 Years</t>
  </si>
  <si>
    <t>Start Date (PO) : 02-Apr-24 :: End Date (PO) : 01-Apr-26</t>
  </si>
  <si>
    <t>25</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</si>
  <si>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</si>
  <si>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</si>
  <si>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25 Resource deployed.
2. Oracle Interactive Analytics Dashboard for Birth &amp; Death Statistics with dynamic charts, KPIs, and visual data insights.
3. iOAS and Android App
4. State onboard is on going.
5. Receive Data from Non CRS State through API.
6. AADHAR , TRANSLITRATION and Payment Integrations.
7. DB,System performance and monitoring continue above 99.6 % availability.
8. Bag resoluation
9. Development of new Module is under process as per CRS requirement.
10.DC and DR Sync up , Horizontal and vertical scalling.</t>
  </si>
  <si>
    <t>June ,Aug andSept Payment under process from FO.
Oct Draft invoice verification
Nov document and Attendance verification under processing.
Integration of UMANG App with CRS Portal
Delhi Contonment Board onboarding
 B3-B4 Report Drill Down 
 API end points updated to pull data from non-on boarding states 
  Birth &amp; Death Register- Bilingual Labels
Provision for deactivation of Sub-Registrar 
Certificate Cancellation Report
Old Death GP registration
UIDAI deasesed API encreption
Death Aadhar Data sharing with UIDAI
Inactive RU Report</t>
  </si>
  <si>
    <t>Node JS, Android, iOS, ORACLE database , REST, API design, HTML, CSS, JavaScript, JSON, IIS/ Apache, Linux, Aadhaar Vault, NSDL PayGov, C-DAC</t>
  </si>
  <si>
    <t>1.Oracle Old Patch Updation
2 Delhi State Onboarding on CRS Portal- No subdistrict
2.ADD new mountpoint in DMS server.
3 RU &amp; Jurisdiction Mapping Phase 4: Functionality for Merging and Splitting of RU Units
4. Verificatio for Navdeep Rana is pending.</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</si>
  <si>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</si>
  <si>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</si>
  <si>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</si>
  <si>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</si>
  <si>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</si>
  <si>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</si>
  <si>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</si>
  <si>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</si>
  <si>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</si>
  <si>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</si>
  <si>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</si>
  <si>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 xml:space="preserve">Received 80% Payment of JAS. 
Laptop Hardening process has been started after demo received from client Security team.
Oct Attendance issues sorted with client.  
2 VAPT are in progress. 
Technology upgrade meeting done for manpower. </t>
  </si>
  <si>
    <t>Get approval on Oct leaves.
Get approval on Nov leaves. 
Discuss &amp; communicate Leave planning for Dec 2025 as more employees on leave.
Complete 2 VAPT's and deploy on production.</t>
  </si>
  <si>
    <t>Java Struts, For upgrade - TBD</t>
  </si>
  <si>
    <t>Attendance Live Tracking requested by client. We might need to face new strict policies related to Attendance.</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</si>
  <si>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</si>
  <si>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</si>
  <si>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</si>
  <si>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</si>
  <si>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</si>
  <si>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</si>
  <si>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</si>
  <si>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29</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</si>
  <si>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</si>
  <si>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</si>
  <si>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The CTO meeting was conducted this week. We are working on the Finance module feedback; 4 points are still open and in progress. Production issues are also being worked on. Out of 40 issues, 5 have been closed. A demo of the Admin module was conducted to showcase the UAT feedback to the department.</t>
  </si>
  <si>
    <t>F&amp; A UAT Closer and Prod issue</t>
  </si>
  <si>
    <t>Spring Boot, Odoo, React JS, Apache, PostgreSQL, Postman, Moodle, Figma, Ubuntu, AWS Cloud, Flutter, React, Node JS</t>
  </si>
  <si>
    <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</si>
  <si>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</si>
  <si>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</si>
  <si>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</si>
  <si>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</si>
  <si>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</si>
  <si>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</si>
  <si>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</si>
  <si>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49</t>
  </si>
  <si>
    <t>As per achievment, Phase 1 - 321 L, Phase 2 onwards - 350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</si>
  <si>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</si>
  <si>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Phase I updates
→ Phase 1 all 4 tracks billing completed.
→ Payment received till Track 4 for Phase 1.
→ All Nine modules of Phase I development &amp; production deployment is done.
→ Drone moved to Phase II.
→ Billing submitted for Phase II.
→ Phase two documentation for the modules developed till date has been submitted to DIC.
→ Phase II updates
- Modules deployed on production
Team Structure, BICRS, Highway QR, Road Closure, Document Repository, Critical Correspondence
- Requirement gathering done for
On boarding Physical and Financial Progress, Issuance of NCR, Rectification of Blackspots, Drone Video Report, NSV Surveys/Priority Maintenance, Digital MPR for 0&amp;M, user fees agency, Payment to AE/IE, Digitalization of Schedule H, CO Division (Onboarding, Toll Master)
- Requirement gathering in progress for
Payment for Contractor/Concessionaire during maintenance period, , Onboarding of DPR Consultant, LAC-1 (Alignment Approval), 3H Paymnent for Land Acquisition - API
- Development in progress on
Issuance of NCR
Payment to AE/IE
NHIDCL and MoRTH,
NSV Surveys/Priority Maintance</t>
  </si>
  <si>
    <t>→ Development of Issuance of NCR, Payment to AE/Issuance, NHIDCL and MoRTH
→ Design finalisation Blackspot, Physical and Financial Progress, Contractor payment
→ Demo of first version of NHIDCL, MoRTH with limited modules.</t>
  </si>
  <si>
    <t>No-SQL, Ruby, Python, Java, HTML, CSS, JavaScript, Angular, React, GIS/ML, Cloud - TBD, Node JS, Rest API</t>
  </si>
  <si>
    <t>→ Phase II timelines are quite tight considering the workload and current team capacity.
→ We are behind the shared plan due onboarding of additional resources. Immideate deployment of additional resources is be crucial.
→ Scope addition / Change Requests in ongoing development, even on the final day</t>
  </si>
  <si>
    <t>Mukul K / Agam V</t>
  </si>
  <si>
    <t>DAnFW</t>
  </si>
  <si>
    <t>DEPARTMENT OF AGRICULTURE CORPORATION AND FARMER WELFARE DIVISION MINISTRY MAOFW DANFW DACFW dept of agri.</t>
  </si>
  <si>
    <t>DEPT OF AGRICULTURE CORP &amp; FARMER WELFARE</t>
  </si>
  <si>
    <t>Start Date (PO) : 05-Dec-24 :: End Date (PO) : 04-Dec-26</t>
  </si>
  <si>
    <t>52+2</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</si>
  <si>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</si>
  <si>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</si>
  <si>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 xml:space="preserve">1] Krishi Mapper :
A. Survey count Dashboard : table view API done for nmeo-os....other scheme data ccheck in progress
B. Assign Target : Add on requirement received from client...frontend ready...API development in progress
c. Multi selection subdistrict surveyor : PDMC/RAD in testing phase ....deploy by end of this week
d. State APIs :NMEO-OP telangna...Karnataka NMEO-OP/other scheme APIs consumption in progress
e. AIF crop stage changes in progress
f.Seed Village programme : new scheme onboarded API in progress
2] Natural Farming:
A. API to integrate with KM/soil health/ICAR
3] Krishi Unnati : deployment over public IP in progress </t>
  </si>
  <si>
    <t>1] Krishi Mapper:
A. Seed Village programme : onboard
B. Survey count Dashboard : table view
c. Multi selection subdistrict surveyor : Natural farming
D. Assign Target : RAD/MOVCD/other schemes updation</t>
  </si>
  <si>
    <t>C#, ASP.NET, MVC, .NET Core, Visual Studio, HTML5, CSS3, RESTful API, MERN, flutter, react Native, MS SQL, e-Office</t>
  </si>
  <si>
    <t xml:space="preserve">Priority task received from client/consultant without documentation cause chaos in development.
</t>
  </si>
  <si>
    <t>Sourav M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</si>
  <si>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</si>
  <si>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</si>
  <si>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</si>
  <si>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</si>
  <si>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</si>
  <si>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32</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</si>
  <si>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</si>
  <si>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</si>
  <si>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Q1 &amp; Q2&amp; Q3 payment and 60% Capex payment and also 2% capex payment released.
Q.4 Data Prepared and bill submit to consultant for Calculation. (submitted on 24th Nov.)
32 Manpower deployed as per client requirements.
ISO Certification Documents parts ready some parts are pending to client end for Audit.(Letter submitted)
IT Equipment like server switch and San storage AMC not start yet.(this is very critical)-Pending from HO.
1st floor 20 No's Ac AMC not done from HO and Purchase team.</t>
  </si>
  <si>
    <t>Q.4 and Capex 2% and Diesel consumable bill submit to client for SLA calculation follow-up and push for payment.-Bill hold due to SAN storage issue.
Videowall repaired on 28th Nov. bill required for claim insurance.-Bill required for claim
Q.4 PM activity and breakdown issues resolve as per requirement.
Some Vendor Payment not received details are submitted on email to HO team.
IT equipment for AMC vendor visit at site for check all devices. but there is no conclusion yet.
Letter submit to client for ISO certificate.
Bill calculation done from consultant and submit to client for payment but held due SAN storage issue.
One Manpower required for API developer - Already Mail drop to HR team.</t>
  </si>
  <si>
    <t>NA</t>
  </si>
  <si>
    <t xml:space="preserve">AMC REQUIRED OLD DC INFRA ON URGENT BASIS because our SAN storage and tape library not working , client is issuing a letter for this.
For ISO CERTIFICATION PUSH TO Client FROM OUR SALES TEAM.-Letter submit to client for help to close ISO.
Insurance claim register for video wall and Switches. Bill required from Vendor to submit insurance team.
1st floor 20 No's Ac AMC not done from HO and Purchase team.
API Developer required ASAP- Mail drop to HR and HO team.
SAN Storage issue is very critical ,our Q4 Bill held due to this reason. </t>
  </si>
  <si>
    <t>Sachin S</t>
  </si>
  <si>
    <t>Kanpur SC O&amp;M</t>
  </si>
  <si>
    <t>Kanpur SC O&amp;M tech mahindra TECHM</t>
  </si>
  <si>
    <t>42 month</t>
  </si>
  <si>
    <t>Start Date (PO) : 01-Jan-23 :: End Date (PO) : 25-Jun-26</t>
  </si>
  <si>
    <t>46</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</si>
  <si>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</si>
  <si>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</si>
  <si>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1)Jan23 to Jun25 (Total 10 quarters payment released- 75%)
2)24 July meeting scheduled with commissioner to discuss issues related to ICCC critical issues &amp; withhold payment- KSCL will not pay to Tech-M (re-imbursement)- KSCL will not pay to Tech M reimbursement and will have to be paid by Tech M to CMS
3) Billing done for AMJ25 Qtr amounting to INR 3,813 Lacs</t>
  </si>
  <si>
    <t xml:space="preserve">1) VMSB issue resolution to make it live
2) To expedite ATCS -23 junctions for making it operational
3) Project inventory consolidation
4) Coordination with Tech-M for Metro Inventory consolidation
5) Reimbursement of recurring charges from Tech-M
6) Release of 25% retention/withheld amount
7) Coordination with vendor Videonetics for UAT towards their implemented application as per the requirement of the client.
8)Follow-up on procurement of batteries, smart parking sensors.
9) Deployment of smart parking sensors at sites that can be completed as per the existing quantity of sensors.
10) To conduct the stock of UPS at the field sites alongwith Junction boxes for new battery installation.
11) Dismantling work of site at Company Baugh from Metro
12) Smart Parking site activation at Kargil Park.  </t>
  </si>
  <si>
    <t xml:space="preserve">1) ATCS 23 junction activity work has suffered due to vendor M/s SPIT inactions in expediting works  
2) Client’s requirement of UAT report towards Videonetics application implemented from CMS if not complied shall face impediment from client while the project closure.
3) Delivery of Batteries if prolonged the client has already indicated that the purchase shall be effected from their side and recovered from receivables of CMS . 
4)VMSB devices facing recurring problems (dark spots, black lines, component failures).Smart Parking sensors &amp; VMSB card-related issues.
5) Smart parking affected due to unavailability of sensors, and no visibility of it has irrated the client and may pose the penalty
7) DR/DC – The OEM ESDS services has expired in Dec’24 and has been disabled.  
8)Client’s requirement of inventory list.
9)Trade Licenses renewal </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</si>
  <si>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</si>
  <si>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</si>
  <si>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</si>
  <si>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</si>
  <si>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</si>
  <si>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</si>
  <si>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</si>
  <si>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</si>
  <si>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</si>
  <si>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1. 47L payment is already reached to finance department for further process.
2. Payment will be released with in 4-5 working days.
3. CAMC bills are IN progress from NMPA end.
4. New work order received from NMPA for FOT gate installation.</t>
  </si>
  <si>
    <t xml:space="preserve">follow ups with NMPA for Payment clearance </t>
  </si>
  <si>
    <t>Prashant P</t>
  </si>
  <si>
    <t>Vadodara Traffic</t>
  </si>
  <si>
    <t>VADODARA VMC TRAFFIC</t>
  </si>
  <si>
    <t>SITC 4 Mths  &amp;  O&amp;M -  5 Yrs</t>
  </si>
  <si>
    <t>After SITC</t>
  </si>
  <si>
    <t>Start Date (PO) : 26-Feb-24 :: End Date (PO) : 25-Jun-29</t>
  </si>
  <si>
    <t xml:space="preserve">shared resource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</si>
  <si>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</si>
  <si>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</si>
  <si>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O &amp; M</t>
  </si>
  <si>
    <t xml:space="preserve">O &amp; M Activity </t>
  </si>
  <si>
    <t xml:space="preserve">20 no CDT and 5 no of DC controller spare material procurement pending since long time.---VMC ATCS
40 no location battery stolen. Insurance under process 
</t>
  </si>
  <si>
    <t>Sachin R</t>
  </si>
  <si>
    <t>VADODARA ICCC</t>
  </si>
  <si>
    <t>VADODARA ICCC vadodara</t>
  </si>
  <si>
    <t>Start Date (PO) : 01-Aug-24 :: End Date (PO) : 31-Jul-29</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</si>
  <si>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</si>
  <si>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</si>
  <si>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 xml:space="preserve">O &amp; M and invoice process </t>
  </si>
  <si>
    <t xml:space="preserve">VMD application testing done but controller replacement activity pending. New controller under procurement --- ICCC 
5 no of VMD LED time have issue. Need to purchase new module - ICCC
22 no of UCON 10 controller we needs to replace. - ICCC
300 faulty modules given to OEM for replace material --- VMC-P4 LED 
40 no location battery stolen. Insurance under process 
DR OEM needs to final – ICCC Project 
</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</si>
  <si>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</si>
  <si>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</si>
  <si>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</si>
  <si>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</si>
  <si>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</si>
  <si>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</si>
  <si>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</si>
  <si>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</si>
  <si>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1] The part payment of INR 30 Lakh received. Next part payment of 20 Lakh will be done today.
2] ISCDL team prepared New PPP project of initially 20 ITMS Junction, 20 PAS, and are under reviewed by ACS sir for final approval.</t>
  </si>
  <si>
    <t>1. Today will received a mail confirmation for acknowledgement for Installed and commissioned solution along with tentative Go-Live proposal date from ISCDL.
2. Post the approval from ISCDL for BRTS budgetary Cost, will start the working on rest hold junction including BRTS Shifting components.</t>
  </si>
  <si>
    <t>1.Since there is no clarity on payment availability at Smart city, Smart City projects are focusing on monetizing land and generating revenue from various initiatives to meet payment obligations. However, the timeline for receiving these payments remains uncertain</t>
  </si>
  <si>
    <t>Akash K</t>
  </si>
  <si>
    <t>IREL</t>
  </si>
  <si>
    <t>INDIAN RARE EARTHS LIMITED - IREL</t>
  </si>
  <si>
    <t>SITC –  12 Months , O&amp;M -  4 Yrs</t>
  </si>
  <si>
    <t>Milestonewise</t>
  </si>
  <si>
    <t>Start Date (PO) : 29-Oct-18 :: End Date (PO) : 30-Sep-25</t>
  </si>
  <si>
    <t>21</t>
  </si>
  <si>
    <t>As per Achievement</t>
  </si>
  <si>
    <t>Development of  Integrated ERP System (IITS) (326 L) 
FMS including support &amp; maintenance (147 L)
Cloud Services (574 L)
Change Request (63 K)</t>
  </si>
  <si>
    <t>Issue related to Malicious activity identified and 90% resolved.
HRMS, FA, SM, MM, performing bug fixing.</t>
  </si>
  <si>
    <t>PSL report is required to performance optimize.
Start developing the Finance CO modules</t>
  </si>
  <si>
    <t>Core Java, BIRD tool, postgre, ESDS cloud</t>
  </si>
  <si>
    <t>No major risks</t>
  </si>
  <si>
    <t>Priya R</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</si>
  <si>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</si>
  <si>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</si>
  <si>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</si>
  <si>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</si>
  <si>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</si>
  <si>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</si>
  <si>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</si>
  <si>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</si>
  <si>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2. PA: 20/20 Pairs PA installation done and cable laying and connection done for 10 locations. 
3. VMD: 7/10 Nos. VMD foundation done and 6 Nos. VMD installation done.
4. ECB: 20/20 Nos. ECB enclosure foundation &amp; installation done. 9 Nos. cable laying and back filling done. 
5. All materials delivered at site as per PO Qty.
6. 99% billing done.
7. Complete accessories not yet delivered. 24V Surge protector received instead of POE LAN Surge Protector. Informed to Purchase (Vijay) and OEM. 
8. 3/10 VMD foundation still pending due to payment issue. 
9. Cable laying, connection, configuration and commissioning pending for VMD. 
</t>
  </si>
  <si>
    <t>1.	ECB &amp; EVS installation, cable laying, 
2.	Connection and commissioning for PA, ECB and EVS.</t>
  </si>
  <si>
    <t xml:space="preserve">1.Accessories not yet purchased and delivered. Pending from purchase. Need to deliver urgently to start the cable laying, connection, earth pit installation.
2. VMD controller received but sending card not available with controller. The sending card not considered earlier by designed team. Now without sending card VMD controller will not work. It is very critical.
3. Cable laying, digging, etc work order not yet given to local vendor. Pending from purchase. Need to follow-ups with purchase team.
4. VMD foundation work stopped by Bonsai. VMD installation vendor (Bonsai) SOW issue and payment issue. Need to be closed immediately. After discussion with me, Santosh Sir and Vaibhav Sir over the phone with Mr. Deepak Pathak, Bonsai still not supplied any accessories as per SOW for VMD installation work. Need to complete discussion with Bonsai and CMS stakeholders. Payment also a big issue. Bonsai asking the payment of 10 Nos. of supplied VMD poles and structures and the 6 Nos. of installed VMD. Need immediate support from HO. Bonsai Not supporting to us. Now very critical situation.
5. Cable laying work still pending for ECB, PA, EVS and VMD. The service vendor not yet finalized by purchase team. Now it is very critical.
</t>
  </si>
  <si>
    <t>Arindam R</t>
  </si>
  <si>
    <t>MCS - L&amp;T</t>
  </si>
  <si>
    <t xml:space="preserve">Mumbai city surveillance larsen and toubro mcs </t>
  </si>
  <si>
    <t>Mumbai City Surveillance</t>
  </si>
  <si>
    <t>6 months</t>
  </si>
  <si>
    <t>Start Date (PO) : 01-Mar-25 :: End Date (PO) : 31-Aug-25</t>
  </si>
  <si>
    <t>219</t>
  </si>
  <si>
    <t>72.86 L</t>
  </si>
  <si>
    <t>Viewing Manpower in 4 shifts including backup to cover 203 shifts daily.</t>
  </si>
  <si>
    <t>4 candidates selected and they are working on Documentation
Lineup 5 Candidates for Interview for this week</t>
  </si>
  <si>
    <t>Daily 2 candidates Interview for this week
Follow-up on New Work Order</t>
  </si>
  <si>
    <t>Recruitment of 20 Candidates.
New Work Order for extension period</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</si>
  <si>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</si>
  <si>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</si>
  <si>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</si>
  <si>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</si>
  <si>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</si>
  <si>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</si>
  <si>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</si>
  <si>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</si>
  <si>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</si>
  <si>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</si>
  <si>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Overall Progress Summary
• Primary &amp; Backup Servers: Fully configured, tested, and installed; ready for use.
• Substations 1, 2 &amp; 3: Network setup completed; awaiting switch rack installation and port enabling by JNPA vendor. CMS will complete meter communication in 2–3 days once switches are ready.
• Main Substation: SCADA communication established; API details from GE vendor awaited to integrate data into EEMS.
• ABT Meters: Meters installed; pending series connection by MSETCL testing team and switch port availability from JNPA vendor.
• RMU Panels: Survey completed; awaiting OFC network and switch readiness. CMS to proceed once SEZ scope is updated.
• Water Flow Meters: 62 delivered, 5 installed; remaining installations dependent on valve/duct readiness from JNPA/end consumers and confirmation of larger meter locations.
• Consumer Billing Meters: MPLS connectivity to NOC server established; link testing in progress. SIM activation and modem installation to follow.
• Cloud Registration: AWS cloud account registered.
• Software: Deployed on NOC server; all modules integrated. Multi-user access enabled. Enhancements will be taken up as live data starts flowing.</t>
  </si>
  <si>
    <t>Sim card testing with modems and firewall  configuration task.</t>
  </si>
  <si>
    <t>PostgreSQL, DLMS, MODBUS, GPRS, Python, DotNet MVC</t>
  </si>
  <si>
    <t>Network Dependencies: Delay in switch rack installation, port enabling, and OFC readiness by JNPA vendors may hold up meter communication.
• Third-Party Coordination: Pending API support from SCADA vendor (GE) and no response yet from MSETCL testing team for ABT meter series connection.
• Field Infrastructure Readiness: Water meter installation depends on valves, strainers, ducts, and power availability from JNPA/end consumers.
• Scope Finalization: RMU communication pending final SEZ scope confirmation and network availability.
• Location Confirmation: Larger water meter installation (80/100/400 mm) pending finalization of sites by JNPA.</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</si>
  <si>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</si>
  <si>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</si>
  <si>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</si>
  <si>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</si>
  <si>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</si>
  <si>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</si>
  <si>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</si>
  <si>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</si>
  <si>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</si>
  <si>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</si>
  <si>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Second Phase Development  Completed
1.	Authentication Module – Implemented secure login and access control mechanism with proper user roles and permissions.
2. Landing Page – Developed and deployed interactive dashboard with quick navigation to all major modules.
3. Agency Selection – Functionality for selecting and managing agencies successfully integrated.
4. View Girder Assignment – Module to view girder assignment details completed and tested.
5. WPSS &amp; QAP Submission Approver – Approval flow for WPSS and QAP submissions finalized and implemented.
6. Module Integration – All completed modules integrated seamlessly within the main application framework.
7. Inter-Service Communication – Microservice communication established through REST APIs for smooth data exchange.
8. View &amp; Download GAD – Functionality to view and download GAD files successfully developed and tested.
9. Add New Girder &amp; Contractor – Module for adding new girders and assigning contractors implemented.
10. Agency Selection (Extended) – Additional features and validations incorporated as per updated PRD.
11. GAD Management Module – Developed module for managing GAD-related data and documents.
12. Stakeholder &amp; Employee Onboarding – Onboarding flow for stakeholders and employees completed, integrated with authentication service.
13. All core modules and approval workflows have been completed as per PRD.
14. API integration and inter-service communication successfully tested.
15. GAD Management and WPSS/QAP Approval flows are functional and aligned with updated requirements.
16. Stakeholder onboarding and agency management workflows are fully operational.
17.Email Integration – Successfully implemented and tested email service for notification and approval workflows.
Successful demo for DIC and NHAI Given
</t>
  </si>
  <si>
    <t>Demo for Railway and prodcution deployment for second phase</t>
  </si>
  <si>
    <t>JAVA 17, Springboot, PostgreSql, React, AWS Cloud, Microservices, NodeJS, Postman, Apache Tomcat webserver, SSL, Oauth, AWS ECS</t>
  </si>
  <si>
    <t>Continuous changes in PRD and Figma design</t>
  </si>
  <si>
    <t>DIC NOC</t>
  </si>
  <si>
    <t>DIGITAL INDIA CORP - NOC</t>
  </si>
  <si>
    <t>9 months + O&amp;M</t>
  </si>
  <si>
    <t>Start Date (PO) : 03-Jul-25 :: End Date (PO) : 02-Jan-27</t>
  </si>
  <si>
    <t>11</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</si>
  <si>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</si>
  <si>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Security audit activities are currently in progress.
Bug fixing is being carried out based on the issues identified during testing.</t>
  </si>
  <si>
    <t xml:space="preserve">Security audit and Bug fixing </t>
  </si>
  <si>
    <t>No</t>
  </si>
  <si>
    <t>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</si>
  <si>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</si>
  <si>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</si>
  <si>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</si>
  <si>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</si>
  <si>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</si>
  <si>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6</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</si>
  <si>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</si>
  <si>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t>
  </si>
  <si>
    <t>ITPO Corporate website is live now. As directed by ITPO officials we are developing some microsites (IILF, AAHAR and East Himalayan Trade Fair). 
We are assiggned to manage the AAHAR - The International Food and Hospitality Fair (2026)  online bookings.
ITPO Corporate website is now live. As directed by ITPO officials, we are developing several microsites, including IILF, AAHAR, and the East Himalayan Trade Fair. 
We have been assigned the responsibility to manage the online bookings for AAHAR – The International Food and Hospitality Fair (2026)</t>
  </si>
  <si>
    <t>We will be responsible for managing the AAHAR bookings and developing the associated microsites.</t>
  </si>
  <si>
    <t>- Backend: Node.js (Java script- Nest.Js Framework)
- Frontend: Angular
- DB: MySQL</t>
  </si>
  <si>
    <t>- Onboarding of new resources
- Need for new laptops, as we are currently facing issues (Hang, Auto Shutdown, Bluescreen) with our existing systems
- Our Attendance and Work Done reports have been approved by NeGD. We now need to submit the invoice to the client for billing for the months of September, October, and November 2025.</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</si>
  <si>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</si>
  <si>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</si>
  <si>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</si>
  <si>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</si>
  <si>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</si>
  <si>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</si>
  <si>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</si>
  <si>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</si>
  <si>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</si>
  <si>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</si>
  <si>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</si>
  <si>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</si>
  <si>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</si>
  <si>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</si>
  <si>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</si>
  <si>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</si>
  <si>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</si>
  <si>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13</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</si>
  <si>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</si>
  <si>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</si>
  <si>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EWDS Implementation completed on 31st March 2024.
All the implementation payment has been collected.
Currently project is on O&amp;M phase and running the Second year.
O&amp;M start Date- 01-04-2024
O&amp;M End Date- 31-03-2026
First year O&amp;M payment has been collected.
Per battery purchase cost of Rs. 9550 and asked us to deliver 200 count batteries immediately. Balance they will have requirement of 2300 batteries. Waiting for the work order. TSG has approved the cost.
O&amp;M quarter 2 bills submitted with an amount of 1.13Cr and its under process. TSG to be scheduled.</t>
  </si>
  <si>
    <t>Collection for the first and second quarter invoices. TSG meeting scheduled for coming week.
Work Order for UPS battery purchase
Follow up for Wayanad 5 new Siren project order. TSG has been approved the amount of 4Cr and file is under Disaster Management Department for further financial approvals.
Camera issues rectifications.
Commercial submission for Air Ride Siren proposal.
Commercial submission of Alappey 5 new Siren requirement.
Collection of Laptop batteries delivered payment-58K.</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</si>
  <si>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</si>
  <si>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</si>
  <si>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</si>
  <si>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</si>
  <si>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</si>
  <si>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</si>
  <si>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</si>
  <si>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</si>
  <si>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</si>
  <si>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 xml:space="preserve">ATCS, ECB, PA, VMD, GPS and VDC maintenance work going on.
1. Quarterly PM report submitting as per the BSCL and SPCL requirement.
2. ERP solutions developing work still going on.
3. Trade license module handed over to Nagar Nigam. Rest 15 Modules Modifications works are still in progress.
4. 59 Nos. GPS re-installed. 1 GPS missing.
</t>
  </si>
  <si>
    <t xml:space="preserve">1. BOB payment gateway and POSH machine integration with Property tax module.
2. SWM issue resolution.
3. Ghanta Gharh and Sitla Asthan ATCS work.
</t>
  </si>
  <si>
    <t xml:space="preserve">ERP Support Issues:
1. SoftTech is not providing adequate support to resolve ERP-related issues and pending modifications. Management intervention is required to close these matters.
2. Request for Services Module:
SoftTech has stopped providing support for the Request for Services module and has put its development on hold due to financial constraints. Immediate management support is requested to resume the development.
3.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4. ECB Card Compatibility:
The new ECB cards are not matching with the existing system. The issue needs to be checked and closed at the earliest.
5. Ucon-Stacks are required very urgently.
</t>
  </si>
  <si>
    <t>Muzaffarpur O&amp;M</t>
  </si>
  <si>
    <t>Muzaffarpur Smart City O&amp;M (Shapoorji Pallonji)</t>
  </si>
  <si>
    <t>Start Date (PO) : 25-May-23 :: End Date (PO) : 24-May-28</t>
  </si>
  <si>
    <t>3</t>
  </si>
  <si>
    <t>17.63 L</t>
  </si>
  <si>
    <t xml:space="preserve">5Years O&amp;M for 
•	ERP Solutions
•	31 Nos ATCS Junctions
•	31 Nos ECB
•	10 Nos PA
•	31 Nos VMD
•	ICCC Software
--- with ITMS expert and filed expert.  </t>
  </si>
  <si>
    <t xml:space="preserve">1] ATCS, ECB, PA, VMD maintenance work is going on.
2] ERP O&amp;M also going on.
3] ERP new module, modification work is going on.
</t>
  </si>
  <si>
    <t xml:space="preserve">1] ERP issues closing plan.
2] Maintenance work.
</t>
  </si>
  <si>
    <t xml:space="preserve">1] SoftTech is not providing adequate support for ERP modifications. Immediate management intervention is required to resolve this issue.
2] The new ECB card is not compatible with the ECB application. This needs to be addressed and resolved urgently.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</si>
  <si>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</si>
  <si>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</si>
  <si>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</si>
  <si>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</si>
  <si>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</si>
  <si>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</si>
  <si>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8 Qtr. O&amp;M support done and 6 Qtr. billing done.
2. Out of 6 Qtr.,4 Qtr. Payment received. 1 Pending due to the DVC vendor billing portal have in development stage. Expected by this month end payment for 1 Qtr. will be received.
3. 1 Qtr. billing due. By this month it will be done.
4. Meter rectification work going on at the substations.
5. CERTIN Audit partially done. Pending for Lease line not available from DVC end and they are arranging.
</t>
  </si>
  <si>
    <t xml:space="preserve">1. CERTIN audit completion.
2. Meter rectification.
</t>
  </si>
  <si>
    <t xml:space="preserve">1. Out of 706 EDMI meters, 26 units are frequently found faulty. These need to be either repaired by EDMI or replaced (by EDMI or another make). It is becoming very difficult to maintain service levels without LD implications. Immediate management support is required.
2. Around 60 out of the remaining 680 meters are facing TTL card issues. Our team is continuously replacing TTL cards to keep the system functional.
3. 2–3 blocks (out of 96) are missing on a daily basis because we are required to restart the meters twice a day.
4. DVC is extracting raw data from our server through API for their internal services. We need to continue providing necessary API/service support as per the PO terms and conditions.
Your immediate attention and intervention in resolving these issues will help ensure uninterrupted service and compliance with contractual obligations.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</si>
  <si>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</si>
  <si>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</si>
  <si>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</si>
  <si>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</si>
  <si>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</si>
  <si>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</si>
  <si>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</si>
  <si>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</si>
  <si>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0</t>
  </si>
  <si>
    <t>•	Nirbhaya Safe City - Variable Messaging Displays (Digital Billboards) for Commissioner of Police – Mumbai 
•	2 VMD’s to be installed in MMP Region .</t>
  </si>
  <si>
    <t xml:space="preserve">Project Highlights &amp; Updates:-
Billing Done for the Feasibility Phase.
Powai Location has been finalized &amp; Site Survey done with Vendor.
We have suggested new location for 2nd VMD &amp; requested permission to install, awaiting approval. 
For 1 location (Powai) file is currently in BMC license dept. (expected approval by November end). 
For second location we have suggested JVPD circle, Panjarapol, chembur -yet to be finalized by police dept
Now Vendor is asking to increase PO Amount  Santosh sir need to close the same 
</t>
  </si>
  <si>
    <t xml:space="preserve">No Progress waiting for approval from client </t>
  </si>
  <si>
    <t xml:space="preserve">We have not received approval for 2nd Location 
</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</si>
  <si>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</si>
  <si>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</si>
  <si>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</si>
  <si>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</si>
  <si>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</si>
  <si>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</si>
  <si>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</si>
  <si>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</si>
  <si>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</si>
  <si>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Spring Boot, Odoo, React JS, Apache, PostgreSQL, Postman, Moodle, Figma, Ubuntu, NIC Cloud, Flutter, Node JS</t>
  </si>
  <si>
    <t>Vinod S / TBH</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</si>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</sst>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_(&quot;₹&quot;* #,##0.00_);_(&quot;₹&quot;* \(#,##0.00\);_(&quot;₹&quot;* &quot;-&quot;??_);_(@_)"/>
    <numFmt numFmtId="165" formatCode="_ &quot;₹&quot;\ * #,##0_ ;_ &quot;₹&quot;\ * \-#,##0_ ;_ &quot;₹&quot;\ * &quot;-&quot;??_ ;_ @_ "/>
    <numFmt numFmtId="166"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16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2">
    <xf numFmtId="0" fontId="0" fillId="0" borderId="0" xfId="0"/>
    <xf numFmtId="0" fontId="2" fillId="2" borderId="1" xfId="0" applyFont="1" applyFill="1" applyBorder="1"/>
    <xf numFmtId="0" fontId="2" fillId="2" borderId="2" xfId="0" applyFont="1" applyFill="1" applyBorder="1"/>
    <xf numFmtId="165"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5" fontId="0" fillId="0" borderId="2" xfId="1" applyNumberFormat="1" applyFont="1" applyBorder="1"/>
    <xf numFmtId="165" fontId="0" fillId="0" borderId="2" xfId="0" applyNumberFormat="1" applyBorder="1"/>
    <xf numFmtId="9" fontId="0" fillId="0" borderId="2" xfId="2" applyFont="1" applyBorder="1"/>
    <xf numFmtId="0" fontId="4" fillId="0" borderId="2" xfId="1" applyNumberFormat="1" applyFont="1" applyBorder="1"/>
    <xf numFmtId="166" fontId="4" fillId="0" borderId="2" xfId="1" applyNumberFormat="1" applyFont="1" applyBorder="1"/>
    <xf numFmtId="9" fontId="4" fillId="0" borderId="2" xfId="2" applyFont="1" applyBorder="1"/>
    <xf numFmtId="164" fontId="4" fillId="0" borderId="2" xfId="1" applyFont="1" applyBorder="1"/>
    <xf numFmtId="164" fontId="4" fillId="0" borderId="3" xfId="1" applyFont="1" applyBorder="1"/>
    <xf numFmtId="0" fontId="4" fillId="0" borderId="2" xfId="1" applyNumberFormat="1" applyFont="1" applyBorder="1" applyAlignment="1"/>
    <xf numFmtId="0" fontId="0" fillId="0" borderId="2" xfId="1" applyNumberFormat="1" applyFont="1" applyBorder="1"/>
    <xf numFmtId="0" fontId="0" fillId="0" borderId="4" xfId="0" applyBorder="1"/>
    <xf numFmtId="0" fontId="3" fillId="0" borderId="5" xfId="3" applyBorder="1"/>
    <xf numFmtId="0" fontId="0" fillId="0" borderId="5" xfId="0" applyBorder="1"/>
    <xf numFmtId="165" fontId="0" fillId="0" borderId="5" xfId="1" applyNumberFormat="1" applyFont="1" applyBorder="1"/>
    <xf numFmtId="165" fontId="0" fillId="0" borderId="5" xfId="0" applyNumberFormat="1" applyBorder="1"/>
    <xf numFmtId="165" fontId="0" fillId="0" borderId="5" xfId="1" applyNumberFormat="1" applyFont="1" applyBorder="1" applyAlignment="1"/>
    <xf numFmtId="9" fontId="0" fillId="0" borderId="5" xfId="2" applyFont="1" applyBorder="1"/>
    <xf numFmtId="0" fontId="4" fillId="0" borderId="5" xfId="1" applyNumberFormat="1" applyFont="1" applyBorder="1"/>
    <xf numFmtId="0" fontId="4" fillId="0" borderId="5" xfId="1" applyNumberFormat="1" applyFont="1" applyBorder="1" applyAlignment="1"/>
    <xf numFmtId="166" fontId="4" fillId="0" borderId="5" xfId="1" applyNumberFormat="1" applyFont="1" applyBorder="1"/>
    <xf numFmtId="9" fontId="4" fillId="0" borderId="5" xfId="2" applyFont="1" applyBorder="1"/>
    <xf numFmtId="164" fontId="4" fillId="0" borderId="5" xfId="1" applyFont="1" applyBorder="1"/>
    <xf numFmtId="16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AB4A7E28-9421-4A61-BC00-78BDCDB3337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AE3F86-75C1-4514-851D-1E047485EE79}">
  <dimension ref="A1:AD29"/>
  <sheetViews>
    <sheetView tabSelected="1" topLeftCell="J1" workbookViewId="0">
      <selection sqref="A1:AD29"/>
    </sheetView>
  </sheetViews>
  <sheetFormatPr defaultRowHeight="15" x14ac:dyDescent="0.25"/>
  <cols>
    <col min="26" max="26" width="12.140625" bestFit="1" customWidth="1"/>
  </cols>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657.46053190000077</v>
      </c>
      <c r="I2" s="8">
        <v>23</v>
      </c>
      <c r="J2" s="8">
        <v>680.46053190000077</v>
      </c>
      <c r="K2" s="8">
        <v>83</v>
      </c>
      <c r="L2" s="9">
        <v>182.78401489999931</v>
      </c>
      <c r="M2" s="8">
        <v>210.06113670000019</v>
      </c>
      <c r="N2" s="8">
        <v>23.340126300000005</v>
      </c>
      <c r="O2" s="8" t="s">
        <v>34</v>
      </c>
      <c r="P2" s="10">
        <v>0.78246331309603057</v>
      </c>
      <c r="Q2" s="11" t="s">
        <v>35</v>
      </c>
      <c r="R2" s="11" t="s">
        <v>36</v>
      </c>
      <c r="S2" s="11" t="s">
        <v>37</v>
      </c>
      <c r="T2" s="11" t="s">
        <v>38</v>
      </c>
      <c r="U2" s="11" t="s">
        <v>39</v>
      </c>
      <c r="V2" s="11" t="s">
        <v>40</v>
      </c>
      <c r="W2" s="11" t="s">
        <v>41</v>
      </c>
      <c r="X2" s="11" t="s">
        <v>42</v>
      </c>
      <c r="Y2" s="11" t="s">
        <v>43</v>
      </c>
      <c r="Z2" s="12">
        <v>46002</v>
      </c>
      <c r="AA2" s="13">
        <v>0.52524313759069319</v>
      </c>
      <c r="AB2" s="13">
        <v>0.4323402397342212</v>
      </c>
      <c r="AC2" s="14" t="s">
        <v>31</v>
      </c>
      <c r="AD2" s="15" t="s">
        <v>44</v>
      </c>
    </row>
    <row r="3" spans="1:30" x14ac:dyDescent="0.25">
      <c r="A3" s="5">
        <v>2</v>
      </c>
      <c r="B3" s="6" t="s">
        <v>45</v>
      </c>
      <c r="C3" s="7" t="s">
        <v>46</v>
      </c>
      <c r="D3" s="7" t="s">
        <v>47</v>
      </c>
      <c r="E3" s="7" t="s">
        <v>32</v>
      </c>
      <c r="F3" s="7" t="s">
        <v>33</v>
      </c>
      <c r="G3" s="8">
        <v>1440.002</v>
      </c>
      <c r="H3" s="8">
        <v>843.44919400000003</v>
      </c>
      <c r="I3" s="8">
        <v>36</v>
      </c>
      <c r="J3" s="8">
        <v>879.44919400000003</v>
      </c>
      <c r="K3" s="8">
        <v>49</v>
      </c>
      <c r="L3" s="9">
        <v>596.55280599999992</v>
      </c>
      <c r="M3" s="8">
        <v>343.96249999999998</v>
      </c>
      <c r="N3" s="8">
        <v>45.0625</v>
      </c>
      <c r="O3" s="8" t="s">
        <v>34</v>
      </c>
      <c r="P3" s="10">
        <v>0.58572779343362025</v>
      </c>
      <c r="Q3" s="11" t="s">
        <v>35</v>
      </c>
      <c r="R3" s="11" t="s">
        <v>48</v>
      </c>
      <c r="S3" s="11" t="s">
        <v>49</v>
      </c>
      <c r="T3" s="11" t="s">
        <v>50</v>
      </c>
      <c r="U3" s="11" t="s">
        <v>51</v>
      </c>
      <c r="V3" s="11" t="s">
        <v>52</v>
      </c>
      <c r="W3" s="11" t="s">
        <v>53</v>
      </c>
      <c r="X3" s="11" t="s">
        <v>54</v>
      </c>
      <c r="Y3" s="11" t="s">
        <v>55</v>
      </c>
      <c r="Z3" s="12">
        <v>46002</v>
      </c>
      <c r="AA3" s="13">
        <v>0.2490929236223961</v>
      </c>
      <c r="AB3" s="13">
        <v>0.19000000008625473</v>
      </c>
      <c r="AC3" s="14" t="s">
        <v>46</v>
      </c>
      <c r="AD3" s="15" t="s">
        <v>56</v>
      </c>
    </row>
    <row r="4" spans="1:30" x14ac:dyDescent="0.25">
      <c r="A4" s="5">
        <v>3</v>
      </c>
      <c r="B4" s="6" t="s">
        <v>57</v>
      </c>
      <c r="C4" s="7" t="s">
        <v>58</v>
      </c>
      <c r="D4" s="7" t="s">
        <v>59</v>
      </c>
      <c r="E4" s="7" t="s">
        <v>32</v>
      </c>
      <c r="F4" s="7" t="s">
        <v>33</v>
      </c>
      <c r="G4" s="8">
        <v>849.8214484745763</v>
      </c>
      <c r="H4" s="8">
        <v>468.6991618000003</v>
      </c>
      <c r="I4" s="8">
        <v>67</v>
      </c>
      <c r="J4" s="8">
        <v>535.6991618000003</v>
      </c>
      <c r="K4" s="8">
        <v>71</v>
      </c>
      <c r="L4" s="9">
        <v>381.122286674576</v>
      </c>
      <c r="M4" s="8">
        <v>215.18460959999987</v>
      </c>
      <c r="N4" s="8">
        <v>0</v>
      </c>
      <c r="O4" s="8" t="s">
        <v>60</v>
      </c>
      <c r="P4" s="10">
        <v>0.55152663261360613</v>
      </c>
      <c r="Q4" s="11" t="s">
        <v>35</v>
      </c>
      <c r="R4" s="11" t="s">
        <v>61</v>
      </c>
      <c r="S4" s="11" t="s">
        <v>62</v>
      </c>
      <c r="T4" s="11" t="s">
        <v>63</v>
      </c>
      <c r="U4" s="11" t="s">
        <v>64</v>
      </c>
      <c r="V4" s="11" t="s">
        <v>65</v>
      </c>
      <c r="W4" s="11" t="s">
        <v>66</v>
      </c>
      <c r="X4" s="11" t="s">
        <v>67</v>
      </c>
      <c r="Y4" s="11" t="s">
        <v>68</v>
      </c>
      <c r="Z4" s="12">
        <v>46002</v>
      </c>
      <c r="AA4" s="13">
        <v>0.28894944759306884</v>
      </c>
      <c r="AB4" s="13">
        <v>0.11942473989981339</v>
      </c>
      <c r="AC4" s="14" t="s">
        <v>58</v>
      </c>
      <c r="AD4" s="15" t="s">
        <v>69</v>
      </c>
    </row>
    <row r="5" spans="1:30" x14ac:dyDescent="0.25">
      <c r="A5" s="5">
        <v>4</v>
      </c>
      <c r="B5" s="6" t="s">
        <v>70</v>
      </c>
      <c r="C5" s="7" t="s">
        <v>71</v>
      </c>
      <c r="D5" s="7" t="s">
        <v>72</v>
      </c>
      <c r="E5" s="7" t="s">
        <v>73</v>
      </c>
      <c r="F5" s="7" t="s">
        <v>33</v>
      </c>
      <c r="G5" s="8">
        <v>2413.0259999999998</v>
      </c>
      <c r="H5" s="8">
        <v>679.61924999999997</v>
      </c>
      <c r="I5" s="8">
        <v>93</v>
      </c>
      <c r="J5" s="8">
        <v>772.61924999999997</v>
      </c>
      <c r="K5" s="8">
        <v>435.99999999999994</v>
      </c>
      <c r="L5" s="9">
        <v>1733.4067499999999</v>
      </c>
      <c r="M5" s="8">
        <v>679.61924999999997</v>
      </c>
      <c r="N5" s="8">
        <v>0</v>
      </c>
      <c r="O5" s="8" t="s">
        <v>74</v>
      </c>
      <c r="P5" s="10">
        <v>0.28164605354438782</v>
      </c>
      <c r="Q5" s="11" t="s">
        <v>75</v>
      </c>
      <c r="R5" s="11" t="s">
        <v>76</v>
      </c>
      <c r="S5" s="11" t="s">
        <v>77</v>
      </c>
      <c r="T5" s="11" t="s">
        <v>78</v>
      </c>
      <c r="U5" s="11" t="s">
        <v>79</v>
      </c>
      <c r="V5" s="11" t="s">
        <v>80</v>
      </c>
      <c r="W5" s="11" t="s">
        <v>81</v>
      </c>
      <c r="X5" s="11" t="s">
        <v>82</v>
      </c>
      <c r="Y5" s="11" t="s">
        <v>83</v>
      </c>
      <c r="Z5" s="12">
        <v>45995</v>
      </c>
      <c r="AA5" s="13">
        <v>0.39544993623736813</v>
      </c>
      <c r="AB5" s="13">
        <v>0.33027289323308273</v>
      </c>
      <c r="AC5" s="14" t="s">
        <v>71</v>
      </c>
      <c r="AD5" s="15" t="s">
        <v>84</v>
      </c>
    </row>
    <row r="6" spans="1:30" x14ac:dyDescent="0.25">
      <c r="A6" s="5">
        <v>5</v>
      </c>
      <c r="B6" s="6" t="s">
        <v>85</v>
      </c>
      <c r="C6" s="7" t="s">
        <v>86</v>
      </c>
      <c r="D6" s="7" t="s">
        <v>86</v>
      </c>
      <c r="E6" s="7" t="s">
        <v>32</v>
      </c>
      <c r="F6" s="7" t="s">
        <v>87</v>
      </c>
      <c r="G6" s="8">
        <v>1265.69472</v>
      </c>
      <c r="H6" s="8">
        <v>497.67500000000001</v>
      </c>
      <c r="I6" s="8">
        <v>124</v>
      </c>
      <c r="J6" s="8">
        <v>621.67499999999995</v>
      </c>
      <c r="K6" s="8">
        <v>367</v>
      </c>
      <c r="L6" s="9">
        <v>768.01972000000001</v>
      </c>
      <c r="M6" s="8">
        <v>62.209375000000001</v>
      </c>
      <c r="N6" s="8">
        <v>0</v>
      </c>
      <c r="O6" s="8" t="s">
        <v>88</v>
      </c>
      <c r="P6" s="10">
        <v>0.39320303082247199</v>
      </c>
      <c r="Q6" s="11" t="s">
        <v>89</v>
      </c>
      <c r="R6" s="11" t="s">
        <v>90</v>
      </c>
      <c r="S6" s="11" t="s">
        <v>91</v>
      </c>
      <c r="T6" s="11" t="s">
        <v>92</v>
      </c>
      <c r="U6" s="11" t="s">
        <v>93</v>
      </c>
      <c r="V6" s="11" t="s">
        <v>94</v>
      </c>
      <c r="W6" s="11" t="s">
        <v>95</v>
      </c>
      <c r="X6" s="16" t="s">
        <v>96</v>
      </c>
      <c r="Y6" s="11">
        <v>0</v>
      </c>
      <c r="Z6" s="12">
        <v>46003</v>
      </c>
      <c r="AA6" s="13" t="s">
        <v>97</v>
      </c>
      <c r="AB6" s="13" t="s">
        <v>97</v>
      </c>
      <c r="AC6" s="14" t="s">
        <v>86</v>
      </c>
      <c r="AD6" s="15" t="s">
        <v>98</v>
      </c>
    </row>
    <row r="7" spans="1:30" x14ac:dyDescent="0.25">
      <c r="A7" s="5">
        <v>6</v>
      </c>
      <c r="B7" s="6" t="s">
        <v>99</v>
      </c>
      <c r="C7" s="7" t="s">
        <v>100</v>
      </c>
      <c r="D7" s="7" t="s">
        <v>101</v>
      </c>
      <c r="E7" s="7" t="s">
        <v>32</v>
      </c>
      <c r="F7" s="7" t="s">
        <v>87</v>
      </c>
      <c r="G7" s="8">
        <v>2186.2800000000002</v>
      </c>
      <c r="H7" s="8">
        <v>360.57</v>
      </c>
      <c r="I7" s="8">
        <v>89</v>
      </c>
      <c r="J7" s="8">
        <v>449.57</v>
      </c>
      <c r="K7" s="8">
        <v>39</v>
      </c>
      <c r="L7" s="9">
        <v>1825.7100000000003</v>
      </c>
      <c r="M7" s="8">
        <v>360.57</v>
      </c>
      <c r="N7" s="8">
        <v>0</v>
      </c>
      <c r="O7" s="8" t="s">
        <v>102</v>
      </c>
      <c r="P7" s="10">
        <v>0.16492398045995937</v>
      </c>
      <c r="Q7" s="11" t="s">
        <v>103</v>
      </c>
      <c r="R7" s="11" t="s">
        <v>104</v>
      </c>
      <c r="S7" s="11" t="s">
        <v>105</v>
      </c>
      <c r="T7" s="11" t="s">
        <v>106</v>
      </c>
      <c r="U7" s="11" t="s">
        <v>107</v>
      </c>
      <c r="V7" s="11" t="s">
        <v>108</v>
      </c>
      <c r="W7" s="11" t="s">
        <v>109</v>
      </c>
      <c r="X7" s="11" t="s">
        <v>110</v>
      </c>
      <c r="Y7" s="11" t="s">
        <v>111</v>
      </c>
      <c r="Z7" s="12">
        <v>46003</v>
      </c>
      <c r="AA7" s="13">
        <v>-6.1288843379005087E-2</v>
      </c>
      <c r="AB7" s="13">
        <v>0.32590705634920647</v>
      </c>
      <c r="AC7" s="14" t="s">
        <v>100</v>
      </c>
      <c r="AD7" s="15" t="s">
        <v>112</v>
      </c>
    </row>
    <row r="8" spans="1:30" x14ac:dyDescent="0.25">
      <c r="A8" s="5">
        <v>7</v>
      </c>
      <c r="B8" s="6" t="s">
        <v>113</v>
      </c>
      <c r="C8" s="7" t="s">
        <v>114</v>
      </c>
      <c r="D8" s="7" t="s">
        <v>115</v>
      </c>
      <c r="E8" s="7" t="s">
        <v>32</v>
      </c>
      <c r="F8" s="7" t="s">
        <v>33</v>
      </c>
      <c r="G8" s="8">
        <v>1606.08</v>
      </c>
      <c r="H8" s="8">
        <v>631.65653049999992</v>
      </c>
      <c r="I8" s="8">
        <v>68</v>
      </c>
      <c r="J8" s="8">
        <v>699.65653049999992</v>
      </c>
      <c r="K8" s="8">
        <v>259</v>
      </c>
      <c r="L8" s="9">
        <v>974.42346950000001</v>
      </c>
      <c r="M8" s="8">
        <v>520.13092500000005</v>
      </c>
      <c r="N8" s="8">
        <v>0</v>
      </c>
      <c r="O8" s="8" t="s">
        <v>60</v>
      </c>
      <c r="P8" s="10">
        <v>0.39329082642209601</v>
      </c>
      <c r="Q8" s="11" t="s">
        <v>35</v>
      </c>
      <c r="R8" s="11" t="s">
        <v>116</v>
      </c>
      <c r="S8" s="11" t="s">
        <v>117</v>
      </c>
      <c r="T8" s="11" t="s">
        <v>118</v>
      </c>
      <c r="U8" s="11" t="s">
        <v>119</v>
      </c>
      <c r="V8" s="11" t="s">
        <v>120</v>
      </c>
      <c r="W8" s="11" t="s">
        <v>121</v>
      </c>
      <c r="X8" s="11" t="s">
        <v>122</v>
      </c>
      <c r="Y8" s="11" t="s">
        <v>123</v>
      </c>
      <c r="Z8" s="12">
        <v>46002</v>
      </c>
      <c r="AA8" s="13">
        <v>0.11000000010704014</v>
      </c>
      <c r="AB8" s="13">
        <v>0.10999999996973608</v>
      </c>
      <c r="AC8" s="14" t="s">
        <v>114</v>
      </c>
      <c r="AD8" s="15" t="s">
        <v>124</v>
      </c>
    </row>
    <row r="9" spans="1:30" x14ac:dyDescent="0.25">
      <c r="A9" s="5">
        <v>8</v>
      </c>
      <c r="B9" s="6" t="s">
        <v>125</v>
      </c>
      <c r="C9" s="7" t="s">
        <v>125</v>
      </c>
      <c r="D9" s="7" t="s">
        <v>125</v>
      </c>
      <c r="E9" s="7" t="s">
        <v>73</v>
      </c>
      <c r="F9" s="7" t="s">
        <v>126</v>
      </c>
      <c r="G9" s="8">
        <v>1372.5805700000001</v>
      </c>
      <c r="H9" s="8">
        <v>430.5498189000001</v>
      </c>
      <c r="I9" s="8">
        <v>35</v>
      </c>
      <c r="J9" s="8">
        <v>465.5498189000001</v>
      </c>
      <c r="K9" s="8">
        <v>194</v>
      </c>
      <c r="L9" s="9">
        <v>942.03075109999997</v>
      </c>
      <c r="M9" s="8">
        <v>74.732390099999975</v>
      </c>
      <c r="N9" s="8">
        <v>0</v>
      </c>
      <c r="O9" s="8" t="s">
        <v>127</v>
      </c>
      <c r="P9" s="10">
        <v>0.31367908617561158</v>
      </c>
      <c r="Q9" s="11" t="s">
        <v>128</v>
      </c>
      <c r="R9" s="11" t="s">
        <v>129</v>
      </c>
      <c r="S9" s="11" t="s">
        <v>130</v>
      </c>
      <c r="T9" s="11" t="s">
        <v>131</v>
      </c>
      <c r="U9" s="11" t="s">
        <v>132</v>
      </c>
      <c r="V9" s="11" t="s">
        <v>133</v>
      </c>
      <c r="W9" s="11" t="s">
        <v>134</v>
      </c>
      <c r="X9" s="11" t="s">
        <v>135</v>
      </c>
      <c r="Y9" s="11" t="s">
        <v>136</v>
      </c>
      <c r="Z9" s="12">
        <v>46002</v>
      </c>
      <c r="AA9" s="13">
        <v>0.19540000011082481</v>
      </c>
      <c r="AB9" s="13">
        <v>0.11441806775377272</v>
      </c>
      <c r="AC9" s="14" t="s">
        <v>125</v>
      </c>
      <c r="AD9" s="15" t="s">
        <v>137</v>
      </c>
    </row>
    <row r="10" spans="1:30" x14ac:dyDescent="0.25">
      <c r="A10" s="5">
        <v>9</v>
      </c>
      <c r="B10" s="6" t="s">
        <v>138</v>
      </c>
      <c r="C10" s="7" t="s">
        <v>139</v>
      </c>
      <c r="D10" s="7" t="s">
        <v>138</v>
      </c>
      <c r="E10" s="7" t="s">
        <v>32</v>
      </c>
      <c r="F10" s="7" t="s">
        <v>126</v>
      </c>
      <c r="G10" s="8">
        <v>5337.5</v>
      </c>
      <c r="H10" s="8">
        <v>3812.5</v>
      </c>
      <c r="I10" s="8">
        <v>890</v>
      </c>
      <c r="J10" s="8">
        <v>4702.5</v>
      </c>
      <c r="K10" s="8">
        <v>923</v>
      </c>
      <c r="L10" s="9">
        <v>1525</v>
      </c>
      <c r="M10" s="8">
        <v>1143.75</v>
      </c>
      <c r="N10" s="8">
        <v>0</v>
      </c>
      <c r="O10" s="8" t="s">
        <v>140</v>
      </c>
      <c r="P10" s="10">
        <v>0.7142857142857143</v>
      </c>
      <c r="Q10" s="11" t="s">
        <v>75</v>
      </c>
      <c r="R10" s="11" t="s">
        <v>141</v>
      </c>
      <c r="S10" s="11" t="s">
        <v>142</v>
      </c>
      <c r="T10" s="11" t="s">
        <v>143</v>
      </c>
      <c r="U10" s="11" t="s">
        <v>144</v>
      </c>
      <c r="V10" s="11" t="s">
        <v>145</v>
      </c>
      <c r="W10" s="11" t="s">
        <v>146</v>
      </c>
      <c r="X10" s="11" t="s">
        <v>135</v>
      </c>
      <c r="Y10" s="11" t="s">
        <v>147</v>
      </c>
      <c r="Z10" s="12">
        <v>46002</v>
      </c>
      <c r="AA10" s="13">
        <v>0.3352481576964802</v>
      </c>
      <c r="AB10" s="13">
        <v>0.51229508024724535</v>
      </c>
      <c r="AC10" s="14" t="s">
        <v>139</v>
      </c>
      <c r="AD10" s="15" t="s">
        <v>148</v>
      </c>
    </row>
    <row r="11" spans="1:30" x14ac:dyDescent="0.25">
      <c r="A11" s="5">
        <v>10</v>
      </c>
      <c r="B11" s="6" t="s">
        <v>149</v>
      </c>
      <c r="C11" s="7" t="s">
        <v>150</v>
      </c>
      <c r="D11" s="7" t="s">
        <v>150</v>
      </c>
      <c r="E11" s="7" t="s">
        <v>151</v>
      </c>
      <c r="F11" s="7" t="s">
        <v>152</v>
      </c>
      <c r="G11" s="8">
        <v>680.69294500000001</v>
      </c>
      <c r="H11" s="8">
        <v>297.19870160000005</v>
      </c>
      <c r="I11" s="8">
        <v>7.0000000000000009</v>
      </c>
      <c r="J11" s="8">
        <v>304.19870160000005</v>
      </c>
      <c r="K11" s="8">
        <v>70</v>
      </c>
      <c r="L11" s="9">
        <v>383.49424339999996</v>
      </c>
      <c r="M11" s="8">
        <v>78.093976400000017</v>
      </c>
      <c r="N11" s="8">
        <v>0</v>
      </c>
      <c r="O11" s="8" t="s">
        <v>153</v>
      </c>
      <c r="P11" s="10">
        <v>0.43661199044746973</v>
      </c>
      <c r="Q11" s="11" t="s">
        <v>35</v>
      </c>
      <c r="R11" s="11" t="s">
        <v>154</v>
      </c>
      <c r="S11" s="11" t="s">
        <v>37</v>
      </c>
      <c r="T11" s="11" t="s">
        <v>155</v>
      </c>
      <c r="U11" s="11" t="s">
        <v>156</v>
      </c>
      <c r="V11" s="11" t="s">
        <v>157</v>
      </c>
      <c r="W11" s="11" t="s">
        <v>158</v>
      </c>
      <c r="X11" s="11" t="s">
        <v>135</v>
      </c>
      <c r="Y11" s="11">
        <v>0</v>
      </c>
      <c r="Z11" s="12">
        <v>46002</v>
      </c>
      <c r="AA11" s="13">
        <v>-0.37667385879947046</v>
      </c>
      <c r="AB11" s="13">
        <v>0.12040585230689282</v>
      </c>
      <c r="AC11" s="14" t="s">
        <v>150</v>
      </c>
      <c r="AD11" s="15" t="s">
        <v>159</v>
      </c>
    </row>
    <row r="12" spans="1:30" x14ac:dyDescent="0.25">
      <c r="A12" s="5">
        <v>11</v>
      </c>
      <c r="B12" s="6" t="s">
        <v>160</v>
      </c>
      <c r="C12" s="7" t="s">
        <v>161</v>
      </c>
      <c r="D12" s="7" t="s">
        <v>161</v>
      </c>
      <c r="E12" s="7" t="s">
        <v>73</v>
      </c>
      <c r="F12" s="7" t="s">
        <v>126</v>
      </c>
      <c r="G12" s="8">
        <v>1045.762712</v>
      </c>
      <c r="H12" s="8">
        <v>709.40253320000011</v>
      </c>
      <c r="I12" s="8">
        <v>0</v>
      </c>
      <c r="J12" s="8">
        <v>709.40253320000011</v>
      </c>
      <c r="K12" s="8">
        <v>0</v>
      </c>
      <c r="L12" s="9">
        <v>336.36017879999986</v>
      </c>
      <c r="M12" s="8">
        <v>-0.59409959999999995</v>
      </c>
      <c r="N12" s="8">
        <v>0</v>
      </c>
      <c r="O12" s="8" t="s">
        <v>162</v>
      </c>
      <c r="P12" s="10">
        <v>0.6783589862783328</v>
      </c>
      <c r="Q12" s="11" t="s">
        <v>163</v>
      </c>
      <c r="R12" s="11" t="s">
        <v>164</v>
      </c>
      <c r="S12" s="11" t="s">
        <v>165</v>
      </c>
      <c r="T12" s="11" t="s">
        <v>166</v>
      </c>
      <c r="U12" s="11" t="s">
        <v>167</v>
      </c>
      <c r="V12" s="11" t="s">
        <v>168</v>
      </c>
      <c r="W12" s="11" t="s">
        <v>169</v>
      </c>
      <c r="X12" s="11" t="s">
        <v>135</v>
      </c>
      <c r="Y12" s="11" t="s">
        <v>170</v>
      </c>
      <c r="Z12" s="12">
        <v>46003</v>
      </c>
      <c r="AA12" s="13">
        <v>-0.51932262126862749</v>
      </c>
      <c r="AB12" s="13">
        <v>0.18000000439604424</v>
      </c>
      <c r="AC12" s="14" t="s">
        <v>161</v>
      </c>
      <c r="AD12" s="15" t="s">
        <v>171</v>
      </c>
    </row>
    <row r="13" spans="1:30" x14ac:dyDescent="0.25">
      <c r="A13" s="5">
        <v>12</v>
      </c>
      <c r="B13" s="6" t="s">
        <v>172</v>
      </c>
      <c r="C13" s="7" t="s">
        <v>173</v>
      </c>
      <c r="D13" s="7" t="s">
        <v>172</v>
      </c>
      <c r="E13" s="7" t="s">
        <v>73</v>
      </c>
      <c r="F13" s="7" t="s">
        <v>126</v>
      </c>
      <c r="G13" s="8">
        <v>2019.8763390000001</v>
      </c>
      <c r="H13" s="8">
        <v>418.2129961</v>
      </c>
      <c r="I13" s="8">
        <v>0</v>
      </c>
      <c r="J13" s="8">
        <v>418.2129961</v>
      </c>
      <c r="K13" s="8">
        <v>0</v>
      </c>
      <c r="L13" s="9">
        <v>1601.6633429000001</v>
      </c>
      <c r="M13" s="8">
        <v>257.3762567</v>
      </c>
      <c r="N13" s="8">
        <v>86.215819299999993</v>
      </c>
      <c r="O13" s="8" t="s">
        <v>153</v>
      </c>
      <c r="P13" s="10">
        <v>0.20704881186293256</v>
      </c>
      <c r="Q13" s="11" t="s">
        <v>75</v>
      </c>
      <c r="R13" s="11" t="s">
        <v>174</v>
      </c>
      <c r="S13" s="11">
        <v>0</v>
      </c>
      <c r="T13" s="11" t="s">
        <v>175</v>
      </c>
      <c r="U13" s="11" t="s">
        <v>176</v>
      </c>
      <c r="V13" s="11" t="s">
        <v>168</v>
      </c>
      <c r="W13" s="11" t="s">
        <v>177</v>
      </c>
      <c r="X13" s="11" t="s">
        <v>135</v>
      </c>
      <c r="Y13" s="11" t="s">
        <v>178</v>
      </c>
      <c r="Z13" s="12">
        <v>46003</v>
      </c>
      <c r="AA13" s="13">
        <v>0.20489999988172514</v>
      </c>
      <c r="AB13" s="13">
        <v>0.2046391013686556</v>
      </c>
      <c r="AC13" s="14" t="s">
        <v>173</v>
      </c>
      <c r="AD13" s="15" t="s">
        <v>171</v>
      </c>
    </row>
    <row r="14" spans="1:30" x14ac:dyDescent="0.25">
      <c r="A14" s="5">
        <v>13</v>
      </c>
      <c r="B14" s="6" t="s">
        <v>179</v>
      </c>
      <c r="C14" s="7" t="s">
        <v>180</v>
      </c>
      <c r="D14" s="7" t="s">
        <v>181</v>
      </c>
      <c r="E14" s="7" t="s">
        <v>73</v>
      </c>
      <c r="F14" s="7" t="s">
        <v>126</v>
      </c>
      <c r="G14" s="8">
        <v>2903.04126</v>
      </c>
      <c r="H14" s="8">
        <v>1722.0305597000006</v>
      </c>
      <c r="I14" s="8">
        <v>13</v>
      </c>
      <c r="J14" s="8">
        <v>1735.0305597000006</v>
      </c>
      <c r="K14" s="8">
        <v>978.99999999999989</v>
      </c>
      <c r="L14" s="9">
        <v>1181.0107002999994</v>
      </c>
      <c r="M14" s="8">
        <v>54.821240000000003</v>
      </c>
      <c r="N14" s="8">
        <v>0</v>
      </c>
      <c r="O14" s="8" t="s">
        <v>182</v>
      </c>
      <c r="P14" s="10">
        <v>0.59318156563162339</v>
      </c>
      <c r="Q14" s="11" t="s">
        <v>75</v>
      </c>
      <c r="R14" s="11" t="s">
        <v>183</v>
      </c>
      <c r="S14" s="11" t="s">
        <v>184</v>
      </c>
      <c r="T14" s="11" t="s">
        <v>185</v>
      </c>
      <c r="U14" s="11" t="s">
        <v>186</v>
      </c>
      <c r="V14" s="11" t="s">
        <v>187</v>
      </c>
      <c r="W14" s="11" t="s">
        <v>188</v>
      </c>
      <c r="X14" s="11" t="s">
        <v>135</v>
      </c>
      <c r="Y14" s="11" t="s">
        <v>189</v>
      </c>
      <c r="Z14" s="12">
        <v>46002</v>
      </c>
      <c r="AA14" s="13">
        <v>-8.6348333434192792E-2</v>
      </c>
      <c r="AB14" s="13">
        <v>-0.204144834903355</v>
      </c>
      <c r="AC14" s="14" t="s">
        <v>180</v>
      </c>
      <c r="AD14" s="15" t="s">
        <v>190</v>
      </c>
    </row>
    <row r="15" spans="1:30" x14ac:dyDescent="0.25">
      <c r="A15" s="5">
        <v>14</v>
      </c>
      <c r="B15" s="6" t="s">
        <v>191</v>
      </c>
      <c r="C15" s="7" t="s">
        <v>192</v>
      </c>
      <c r="D15" s="7" t="s">
        <v>192</v>
      </c>
      <c r="E15" s="7" t="s">
        <v>73</v>
      </c>
      <c r="F15" s="7" t="s">
        <v>87</v>
      </c>
      <c r="G15" s="8">
        <v>1047.3630700000001</v>
      </c>
      <c r="H15" s="8">
        <v>162.96677500000001</v>
      </c>
      <c r="I15" s="8">
        <v>0</v>
      </c>
      <c r="J15" s="8">
        <v>162.96677500000001</v>
      </c>
      <c r="K15" s="8">
        <v>114.99999999999999</v>
      </c>
      <c r="L15" s="9">
        <v>884.39629500000012</v>
      </c>
      <c r="M15" s="8">
        <v>0</v>
      </c>
      <c r="N15" s="8">
        <v>0</v>
      </c>
      <c r="O15" s="8" t="s">
        <v>193</v>
      </c>
      <c r="P15" s="10">
        <v>0.15559721329490833</v>
      </c>
      <c r="Q15" s="11" t="s">
        <v>194</v>
      </c>
      <c r="R15" s="11" t="s">
        <v>195</v>
      </c>
      <c r="S15" s="11" t="s">
        <v>196</v>
      </c>
      <c r="T15" s="11" t="s">
        <v>197</v>
      </c>
      <c r="U15" s="11" t="s">
        <v>198</v>
      </c>
      <c r="V15" s="11" t="s">
        <v>199</v>
      </c>
      <c r="W15" s="11" t="s">
        <v>200</v>
      </c>
      <c r="X15" s="11" t="s">
        <v>201</v>
      </c>
      <c r="Y15" s="11" t="s">
        <v>202</v>
      </c>
      <c r="Z15" s="12">
        <v>45995</v>
      </c>
      <c r="AA15" s="13" t="s">
        <v>97</v>
      </c>
      <c r="AB15" s="13">
        <v>-9.5509698226650848</v>
      </c>
      <c r="AC15" s="14" t="s">
        <v>192</v>
      </c>
      <c r="AD15" s="15" t="s">
        <v>203</v>
      </c>
    </row>
    <row r="16" spans="1:30" x14ac:dyDescent="0.25">
      <c r="A16" s="5">
        <v>15</v>
      </c>
      <c r="B16" s="6" t="s">
        <v>204</v>
      </c>
      <c r="C16" s="7" t="s">
        <v>205</v>
      </c>
      <c r="D16" s="7" t="s">
        <v>204</v>
      </c>
      <c r="E16" s="7" t="s">
        <v>206</v>
      </c>
      <c r="F16" s="7" t="s">
        <v>126</v>
      </c>
      <c r="G16" s="8">
        <v>669.18430290000003</v>
      </c>
      <c r="H16" s="8">
        <v>662.96125290000009</v>
      </c>
      <c r="I16" s="8">
        <v>6</v>
      </c>
      <c r="J16" s="8">
        <v>668.96125290000009</v>
      </c>
      <c r="K16" s="8">
        <v>426</v>
      </c>
      <c r="L16" s="9">
        <v>6.2230499999999438</v>
      </c>
      <c r="M16" s="8">
        <v>347.80687999999998</v>
      </c>
      <c r="N16" s="8">
        <v>0</v>
      </c>
      <c r="O16" s="8" t="s">
        <v>207</v>
      </c>
      <c r="P16" s="10">
        <v>0.9907005439711728</v>
      </c>
      <c r="Q16" s="16" t="s">
        <v>208</v>
      </c>
      <c r="R16" s="11" t="s">
        <v>209</v>
      </c>
      <c r="S16" s="11" t="s">
        <v>210</v>
      </c>
      <c r="T16" s="11" t="s">
        <v>197</v>
      </c>
      <c r="U16" s="11" t="s">
        <v>211</v>
      </c>
      <c r="V16" s="11" t="s">
        <v>212</v>
      </c>
      <c r="W16" s="11" t="s">
        <v>213</v>
      </c>
      <c r="X16" s="11" t="s">
        <v>135</v>
      </c>
      <c r="Y16" s="11" t="s">
        <v>214</v>
      </c>
      <c r="Z16" s="12">
        <v>46002</v>
      </c>
      <c r="AA16" s="13">
        <v>0.21114271514376304</v>
      </c>
      <c r="AB16" s="13">
        <v>0.20000000003501683</v>
      </c>
      <c r="AC16" s="14" t="s">
        <v>205</v>
      </c>
      <c r="AD16" s="15" t="s">
        <v>215</v>
      </c>
    </row>
    <row r="17" spans="1:30" x14ac:dyDescent="0.25">
      <c r="A17" s="5">
        <v>16</v>
      </c>
      <c r="B17" s="6" t="s">
        <v>216</v>
      </c>
      <c r="C17" s="7" t="s">
        <v>217</v>
      </c>
      <c r="D17" s="7" t="s">
        <v>218</v>
      </c>
      <c r="E17" s="7" t="s">
        <v>73</v>
      </c>
      <c r="F17" s="7" t="s">
        <v>126</v>
      </c>
      <c r="G17" s="8">
        <v>437.16408000000001</v>
      </c>
      <c r="H17" s="8">
        <v>433.08388200000002</v>
      </c>
      <c r="I17" s="8">
        <v>144</v>
      </c>
      <c r="J17" s="8">
        <v>577.08388200000002</v>
      </c>
      <c r="K17" s="8">
        <v>188</v>
      </c>
      <c r="L17" s="9">
        <v>4.0801979999999958</v>
      </c>
      <c r="M17" s="8">
        <v>433.08388200000002</v>
      </c>
      <c r="N17" s="8">
        <v>0</v>
      </c>
      <c r="O17" s="8" t="s">
        <v>219</v>
      </c>
      <c r="P17" s="10">
        <v>0.99066666684966431</v>
      </c>
      <c r="Q17" s="11" t="s">
        <v>35</v>
      </c>
      <c r="R17" s="11" t="s">
        <v>220</v>
      </c>
      <c r="S17" s="11" t="s">
        <v>221</v>
      </c>
      <c r="T17" s="11" t="s">
        <v>222</v>
      </c>
      <c r="U17" s="11" t="s">
        <v>223</v>
      </c>
      <c r="V17" s="11" t="s">
        <v>224</v>
      </c>
      <c r="W17" s="11" t="s">
        <v>225</v>
      </c>
      <c r="X17" s="11" t="s">
        <v>135</v>
      </c>
      <c r="Y17" s="11" t="s">
        <v>226</v>
      </c>
      <c r="Z17" s="12">
        <v>46002</v>
      </c>
      <c r="AA17" s="13">
        <v>0.5943608235990715</v>
      </c>
      <c r="AB17" s="13" t="s">
        <v>97</v>
      </c>
      <c r="AC17" s="14" t="s">
        <v>217</v>
      </c>
      <c r="AD17" s="15" t="s">
        <v>227</v>
      </c>
    </row>
    <row r="18" spans="1:30" ht="409.5" x14ac:dyDescent="0.25">
      <c r="A18" s="5">
        <v>17</v>
      </c>
      <c r="B18" s="6" t="s">
        <v>228</v>
      </c>
      <c r="C18" s="7" t="s">
        <v>229</v>
      </c>
      <c r="D18" s="7" t="s">
        <v>230</v>
      </c>
      <c r="E18" s="7" t="s">
        <v>73</v>
      </c>
      <c r="F18" s="7" t="s">
        <v>231</v>
      </c>
      <c r="G18" s="8">
        <v>171.31355932203391</v>
      </c>
      <c r="H18" s="8">
        <v>171.31355930000001</v>
      </c>
      <c r="I18" s="8">
        <v>0</v>
      </c>
      <c r="J18" s="8">
        <v>171.31355930000001</v>
      </c>
      <c r="K18" s="8">
        <v>51</v>
      </c>
      <c r="L18" s="9">
        <v>2.2033901814211276E-8</v>
      </c>
      <c r="M18" s="8">
        <v>171.31355930000001</v>
      </c>
      <c r="N18" s="8">
        <v>0</v>
      </c>
      <c r="O18" s="8" t="s">
        <v>232</v>
      </c>
      <c r="P18" s="10">
        <v>0.99999999987138266</v>
      </c>
      <c r="Q18" s="11" t="s">
        <v>233</v>
      </c>
      <c r="R18" s="11" t="s">
        <v>234</v>
      </c>
      <c r="S18" s="11" t="s">
        <v>235</v>
      </c>
      <c r="T18" s="11" t="s">
        <v>236</v>
      </c>
      <c r="U18" s="31" t="s">
        <v>353</v>
      </c>
      <c r="V18" s="11" t="s">
        <v>237</v>
      </c>
      <c r="W18" s="11" t="s">
        <v>238</v>
      </c>
      <c r="X18" s="11" t="s">
        <v>239</v>
      </c>
      <c r="Y18" s="11" t="s">
        <v>240</v>
      </c>
      <c r="Z18" s="12">
        <v>46002</v>
      </c>
      <c r="AA18" s="13">
        <v>0.22245253764919004</v>
      </c>
      <c r="AB18" s="13" t="s">
        <v>97</v>
      </c>
      <c r="AC18" s="14" t="s">
        <v>229</v>
      </c>
      <c r="AD18" s="15" t="s">
        <v>241</v>
      </c>
    </row>
    <row r="19" spans="1:30" x14ac:dyDescent="0.25">
      <c r="A19" s="5">
        <v>18</v>
      </c>
      <c r="B19" s="6" t="s">
        <v>242</v>
      </c>
      <c r="C19" s="7" t="s">
        <v>243</v>
      </c>
      <c r="D19" s="7" t="s">
        <v>244</v>
      </c>
      <c r="E19" s="7" t="s">
        <v>32</v>
      </c>
      <c r="F19" s="7" t="s">
        <v>87</v>
      </c>
      <c r="G19" s="8">
        <v>111.36</v>
      </c>
      <c r="H19" s="8">
        <v>33.408000000000001</v>
      </c>
      <c r="I19" s="8">
        <v>0</v>
      </c>
      <c r="J19" s="8">
        <v>33.408000000000001</v>
      </c>
      <c r="K19" s="8">
        <v>0</v>
      </c>
      <c r="L19" s="9">
        <v>77.951999999999998</v>
      </c>
      <c r="M19" s="8">
        <v>33.408000000000001</v>
      </c>
      <c r="N19" s="8">
        <v>0</v>
      </c>
      <c r="O19" s="8" t="s">
        <v>245</v>
      </c>
      <c r="P19" s="10">
        <v>0.3</v>
      </c>
      <c r="Q19" s="11" t="s">
        <v>246</v>
      </c>
      <c r="R19" s="11" t="s">
        <v>247</v>
      </c>
      <c r="S19" s="11" t="s">
        <v>248</v>
      </c>
      <c r="T19" s="11" t="s">
        <v>249</v>
      </c>
      <c r="U19" s="11" t="s">
        <v>250</v>
      </c>
      <c r="V19" s="11" t="s">
        <v>251</v>
      </c>
      <c r="W19" s="11" t="s">
        <v>252</v>
      </c>
      <c r="X19" s="11" t="s">
        <v>253</v>
      </c>
      <c r="Y19" s="11" t="s">
        <v>254</v>
      </c>
      <c r="Z19" s="12">
        <v>46002</v>
      </c>
      <c r="AA19" s="13">
        <v>0.51068048970306512</v>
      </c>
      <c r="AB19" s="13" t="s">
        <v>97</v>
      </c>
      <c r="AC19" s="14" t="s">
        <v>243</v>
      </c>
      <c r="AD19" s="15" t="s">
        <v>98</v>
      </c>
    </row>
    <row r="20" spans="1:30" x14ac:dyDescent="0.25">
      <c r="A20" s="5">
        <v>19</v>
      </c>
      <c r="B20" s="6" t="s">
        <v>255</v>
      </c>
      <c r="C20" s="7" t="s">
        <v>255</v>
      </c>
      <c r="D20" s="7" t="s">
        <v>256</v>
      </c>
      <c r="E20" s="7" t="s">
        <v>32</v>
      </c>
      <c r="F20" s="7" t="s">
        <v>87</v>
      </c>
      <c r="G20" s="8">
        <v>218.28</v>
      </c>
      <c r="H20" s="8">
        <v>0</v>
      </c>
      <c r="I20" s="8">
        <v>0</v>
      </c>
      <c r="J20" s="8">
        <v>0</v>
      </c>
      <c r="K20" s="8">
        <v>0</v>
      </c>
      <c r="L20" s="9">
        <v>218.28</v>
      </c>
      <c r="M20" s="8">
        <v>0</v>
      </c>
      <c r="N20" s="8">
        <v>0</v>
      </c>
      <c r="O20" s="17" t="s">
        <v>257</v>
      </c>
      <c r="P20" s="10">
        <v>0</v>
      </c>
      <c r="Q20" s="11" t="s">
        <v>135</v>
      </c>
      <c r="R20" s="11" t="s">
        <v>258</v>
      </c>
      <c r="S20" s="11" t="s">
        <v>259</v>
      </c>
      <c r="T20" s="11" t="s">
        <v>135</v>
      </c>
      <c r="U20" s="11" t="s">
        <v>260</v>
      </c>
      <c r="V20" s="11" t="s">
        <v>261</v>
      </c>
      <c r="W20" s="11" t="s">
        <v>262</v>
      </c>
      <c r="X20" s="11">
        <v>0</v>
      </c>
      <c r="Y20" s="11" t="s">
        <v>263</v>
      </c>
      <c r="Z20" s="12">
        <v>46003</v>
      </c>
      <c r="AA20" s="13" t="s">
        <v>97</v>
      </c>
      <c r="AB20" s="13" t="s">
        <v>97</v>
      </c>
      <c r="AC20" s="14" t="s">
        <v>255</v>
      </c>
      <c r="AD20" s="15" t="s">
        <v>264</v>
      </c>
    </row>
    <row r="21" spans="1:30" x14ac:dyDescent="0.25">
      <c r="A21" s="5">
        <v>20</v>
      </c>
      <c r="B21" s="6" t="s">
        <v>265</v>
      </c>
      <c r="C21" s="7" t="s">
        <v>266</v>
      </c>
      <c r="D21" s="7" t="s">
        <v>267</v>
      </c>
      <c r="E21" s="7" t="s">
        <v>32</v>
      </c>
      <c r="F21" s="7" t="s">
        <v>33</v>
      </c>
      <c r="G21" s="8">
        <v>509.88</v>
      </c>
      <c r="H21" s="8">
        <v>12.65733</v>
      </c>
      <c r="I21" s="8">
        <v>10</v>
      </c>
      <c r="J21" s="8">
        <v>22.657330000000002</v>
      </c>
      <c r="K21" s="8">
        <v>0</v>
      </c>
      <c r="L21" s="9">
        <v>497.22266999999999</v>
      </c>
      <c r="M21" s="8">
        <v>12.65733</v>
      </c>
      <c r="N21" s="8">
        <v>12.65733</v>
      </c>
      <c r="O21" s="8" t="s">
        <v>268</v>
      </c>
      <c r="P21" s="10">
        <v>2.4824135090609555E-2</v>
      </c>
      <c r="Q21" s="11" t="s">
        <v>35</v>
      </c>
      <c r="R21" s="11" t="s">
        <v>269</v>
      </c>
      <c r="S21" s="11" t="s">
        <v>270</v>
      </c>
      <c r="T21" s="11" t="s">
        <v>271</v>
      </c>
      <c r="U21" s="11" t="s">
        <v>272</v>
      </c>
      <c r="V21" s="11" t="s">
        <v>273</v>
      </c>
      <c r="W21" s="11" t="s">
        <v>274</v>
      </c>
      <c r="X21" s="11" t="s">
        <v>275</v>
      </c>
      <c r="Y21" s="11" t="s">
        <v>276</v>
      </c>
      <c r="Z21" s="12">
        <v>46001</v>
      </c>
      <c r="AA21" s="13">
        <v>0.17777007000000011</v>
      </c>
      <c r="AB21" s="13" t="s">
        <v>97</v>
      </c>
      <c r="AC21" s="14" t="s">
        <v>266</v>
      </c>
      <c r="AD21" s="15" t="s">
        <v>277</v>
      </c>
    </row>
    <row r="22" spans="1:30" x14ac:dyDescent="0.25">
      <c r="A22" s="5">
        <v>21</v>
      </c>
      <c r="B22" s="6" t="s">
        <v>278</v>
      </c>
      <c r="C22" s="7" t="s">
        <v>279</v>
      </c>
      <c r="D22" s="7" t="s">
        <v>280</v>
      </c>
      <c r="E22" s="7" t="s">
        <v>73</v>
      </c>
      <c r="F22" s="7"/>
      <c r="G22" s="8">
        <v>0</v>
      </c>
      <c r="H22" s="8">
        <v>0</v>
      </c>
      <c r="I22" s="8">
        <v>0</v>
      </c>
      <c r="J22" s="8">
        <v>0</v>
      </c>
      <c r="K22" s="8">
        <v>0</v>
      </c>
      <c r="L22" s="9">
        <v>0</v>
      </c>
      <c r="M22" s="8">
        <v>0</v>
      </c>
      <c r="N22" s="8">
        <v>0</v>
      </c>
      <c r="O22" s="8" t="s">
        <v>281</v>
      </c>
      <c r="P22" s="10">
        <v>0</v>
      </c>
      <c r="Q22" s="11">
        <v>0</v>
      </c>
      <c r="R22" s="11" t="s">
        <v>282</v>
      </c>
      <c r="S22" s="11" t="s">
        <v>135</v>
      </c>
      <c r="T22" s="11" t="s">
        <v>283</v>
      </c>
      <c r="U22" s="11" t="s">
        <v>284</v>
      </c>
      <c r="V22" s="11" t="s">
        <v>285</v>
      </c>
      <c r="W22" s="11" t="s">
        <v>286</v>
      </c>
      <c r="X22" s="11" t="s">
        <v>135</v>
      </c>
      <c r="Y22" s="11" t="s">
        <v>287</v>
      </c>
      <c r="Z22" s="12">
        <v>45925</v>
      </c>
      <c r="AA22" s="13" t="s">
        <v>97</v>
      </c>
      <c r="AB22" s="13" t="s">
        <v>97</v>
      </c>
      <c r="AC22" s="14" t="s">
        <v>279</v>
      </c>
      <c r="AD22" s="15" t="s">
        <v>288</v>
      </c>
    </row>
    <row r="23" spans="1:30" x14ac:dyDescent="0.25">
      <c r="A23" s="5">
        <v>22</v>
      </c>
      <c r="B23" s="6" t="s">
        <v>289</v>
      </c>
      <c r="C23" s="7" t="s">
        <v>290</v>
      </c>
      <c r="D23" s="7" t="s">
        <v>291</v>
      </c>
      <c r="E23" s="7" t="s">
        <v>151</v>
      </c>
      <c r="F23" s="7" t="s">
        <v>152</v>
      </c>
      <c r="G23" s="8">
        <v>6660.9289406779662</v>
      </c>
      <c r="H23" s="8">
        <v>6305.3207339000001</v>
      </c>
      <c r="I23" s="8">
        <v>0</v>
      </c>
      <c r="J23" s="8">
        <v>6305.3207339000001</v>
      </c>
      <c r="K23" s="8">
        <v>0</v>
      </c>
      <c r="L23" s="9">
        <v>355.60820677796619</v>
      </c>
      <c r="M23" s="8">
        <v>253.35620840000004</v>
      </c>
      <c r="N23" s="8">
        <v>96.250439999999998</v>
      </c>
      <c r="O23" s="8" t="s">
        <v>292</v>
      </c>
      <c r="P23" s="10">
        <v>0.9466128208324992</v>
      </c>
      <c r="Q23" s="11" t="s">
        <v>75</v>
      </c>
      <c r="R23" s="11" t="s">
        <v>293</v>
      </c>
      <c r="S23" s="11" t="s">
        <v>294</v>
      </c>
      <c r="T23" s="11" t="s">
        <v>295</v>
      </c>
      <c r="U23" s="11" t="s">
        <v>296</v>
      </c>
      <c r="V23" s="11" t="s">
        <v>297</v>
      </c>
      <c r="W23" s="11" t="s">
        <v>298</v>
      </c>
      <c r="X23" s="11" t="s">
        <v>299</v>
      </c>
      <c r="Y23" s="11" t="s">
        <v>300</v>
      </c>
      <c r="Z23" s="12">
        <v>46002</v>
      </c>
      <c r="AA23" s="13">
        <v>0.1578635874803842</v>
      </c>
      <c r="AB23" s="13">
        <v>4.7055080021901952E-2</v>
      </c>
      <c r="AC23" s="14" t="e">
        <v>#N/A</v>
      </c>
      <c r="AD23" s="15" t="s">
        <v>301</v>
      </c>
    </row>
    <row r="24" spans="1:30" x14ac:dyDescent="0.25">
      <c r="A24" s="5">
        <v>23</v>
      </c>
      <c r="B24" s="6" t="s">
        <v>302</v>
      </c>
      <c r="C24" s="7" t="s">
        <v>303</v>
      </c>
      <c r="D24" s="7" t="s">
        <v>303</v>
      </c>
      <c r="E24" s="7" t="s">
        <v>206</v>
      </c>
      <c r="F24" s="7" t="s">
        <v>126</v>
      </c>
      <c r="G24" s="8">
        <v>360.9787</v>
      </c>
      <c r="H24" s="8">
        <v>126.342545</v>
      </c>
      <c r="I24" s="8">
        <v>0</v>
      </c>
      <c r="J24" s="8">
        <v>126.342545</v>
      </c>
      <c r="K24" s="8">
        <v>0</v>
      </c>
      <c r="L24" s="9">
        <v>234.636155</v>
      </c>
      <c r="M24" s="8">
        <v>90.244675000000001</v>
      </c>
      <c r="N24" s="8">
        <v>0</v>
      </c>
      <c r="O24" s="8" t="s">
        <v>304</v>
      </c>
      <c r="P24" s="10">
        <v>0.35</v>
      </c>
      <c r="Q24" s="11" t="s">
        <v>75</v>
      </c>
      <c r="R24" s="11" t="s">
        <v>305</v>
      </c>
      <c r="S24" s="11" t="s">
        <v>184</v>
      </c>
      <c r="T24" s="11" t="s">
        <v>306</v>
      </c>
      <c r="U24" s="16" t="s">
        <v>307</v>
      </c>
      <c r="V24" s="11" t="s">
        <v>308</v>
      </c>
      <c r="W24" s="11" t="s">
        <v>309</v>
      </c>
      <c r="X24" s="11" t="s">
        <v>299</v>
      </c>
      <c r="Y24" s="11" t="s">
        <v>310</v>
      </c>
      <c r="Z24" s="12">
        <v>46002</v>
      </c>
      <c r="AA24" s="13">
        <v>0.24452521116592174</v>
      </c>
      <c r="AB24" s="13">
        <v>0.42701644292272078</v>
      </c>
      <c r="AC24" s="14" t="e">
        <v>#N/A</v>
      </c>
      <c r="AD24" s="15" t="s">
        <v>215</v>
      </c>
    </row>
    <row r="25" spans="1:30" x14ac:dyDescent="0.25">
      <c r="A25" s="5">
        <v>24</v>
      </c>
      <c r="B25" s="6" t="s">
        <v>311</v>
      </c>
      <c r="C25" s="7" t="s">
        <v>312</v>
      </c>
      <c r="D25" s="7" t="s">
        <v>312</v>
      </c>
      <c r="E25" s="7" t="s">
        <v>206</v>
      </c>
      <c r="F25" s="7" t="s">
        <v>126</v>
      </c>
      <c r="G25" s="8">
        <v>352.65960000000001</v>
      </c>
      <c r="H25" s="8">
        <v>158.69682</v>
      </c>
      <c r="I25" s="8">
        <v>0</v>
      </c>
      <c r="J25" s="8">
        <v>158.69682</v>
      </c>
      <c r="K25" s="8">
        <v>0</v>
      </c>
      <c r="L25" s="9">
        <v>193.96278000000001</v>
      </c>
      <c r="M25" s="8">
        <v>52.898940000000003</v>
      </c>
      <c r="N25" s="8">
        <v>0</v>
      </c>
      <c r="O25" s="8" t="s">
        <v>304</v>
      </c>
      <c r="P25" s="10">
        <v>0.45</v>
      </c>
      <c r="Q25" s="11" t="s">
        <v>75</v>
      </c>
      <c r="R25" s="11" t="s">
        <v>313</v>
      </c>
      <c r="S25" s="11" t="s">
        <v>314</v>
      </c>
      <c r="T25" s="11" t="s">
        <v>315</v>
      </c>
      <c r="U25" s="16" t="s">
        <v>316</v>
      </c>
      <c r="V25" s="11" t="s">
        <v>317</v>
      </c>
      <c r="W25" s="11" t="s">
        <v>318</v>
      </c>
      <c r="X25" s="11" t="s">
        <v>299</v>
      </c>
      <c r="Y25" s="11" t="s">
        <v>319</v>
      </c>
      <c r="Z25" s="12">
        <v>46002</v>
      </c>
      <c r="AA25" s="13">
        <v>0.36692424244633803</v>
      </c>
      <c r="AB25" s="13">
        <v>0.67739458815242792</v>
      </c>
      <c r="AC25" s="14" t="e">
        <v>#N/A</v>
      </c>
      <c r="AD25" s="15" t="s">
        <v>215</v>
      </c>
    </row>
    <row r="26" spans="1:30" x14ac:dyDescent="0.25">
      <c r="A26" s="5">
        <v>25</v>
      </c>
      <c r="B26" s="6" t="s">
        <v>320</v>
      </c>
      <c r="C26" s="7" t="s">
        <v>321</v>
      </c>
      <c r="D26" s="7" t="s">
        <v>322</v>
      </c>
      <c r="E26" s="7" t="s">
        <v>206</v>
      </c>
      <c r="F26" s="7" t="s">
        <v>231</v>
      </c>
      <c r="G26" s="8">
        <v>1275.816245</v>
      </c>
      <c r="H26" s="8">
        <v>1059.0158557000004</v>
      </c>
      <c r="I26" s="8">
        <v>0</v>
      </c>
      <c r="J26" s="8">
        <v>1059.0158557000004</v>
      </c>
      <c r="K26" s="8">
        <v>0</v>
      </c>
      <c r="L26" s="9">
        <v>216.80038929999955</v>
      </c>
      <c r="M26" s="8">
        <v>0</v>
      </c>
      <c r="N26" s="8">
        <v>0</v>
      </c>
      <c r="O26" s="8" t="s">
        <v>304</v>
      </c>
      <c r="P26" s="10">
        <v>0.83006926730267527</v>
      </c>
      <c r="Q26" s="11" t="s">
        <v>299</v>
      </c>
      <c r="R26" s="11" t="s">
        <v>323</v>
      </c>
      <c r="S26" s="11" t="s">
        <v>210</v>
      </c>
      <c r="T26" s="11" t="s">
        <v>324</v>
      </c>
      <c r="U26" s="16" t="s">
        <v>325</v>
      </c>
      <c r="V26" s="11" t="s">
        <v>326</v>
      </c>
      <c r="W26" s="11" t="s">
        <v>327</v>
      </c>
      <c r="X26" s="11" t="s">
        <v>299</v>
      </c>
      <c r="Y26" s="11" t="s">
        <v>328</v>
      </c>
      <c r="Z26" s="12">
        <v>46002</v>
      </c>
      <c r="AA26" s="13">
        <v>0.63015178399761762</v>
      </c>
      <c r="AB26" s="13">
        <v>0.51174435922491024</v>
      </c>
      <c r="AC26" s="14" t="e">
        <v>#N/A</v>
      </c>
      <c r="AD26" s="15" t="s">
        <v>215</v>
      </c>
    </row>
    <row r="27" spans="1:30" x14ac:dyDescent="0.25">
      <c r="A27" s="5">
        <v>26</v>
      </c>
      <c r="B27" s="6" t="s">
        <v>329</v>
      </c>
      <c r="C27" s="7" t="s">
        <v>330</v>
      </c>
      <c r="D27" s="7" t="s">
        <v>330</v>
      </c>
      <c r="E27" s="7" t="s">
        <v>73</v>
      </c>
      <c r="F27" s="7" t="s">
        <v>126</v>
      </c>
      <c r="G27" s="8">
        <v>0</v>
      </c>
      <c r="H27" s="8">
        <v>0</v>
      </c>
      <c r="I27" s="8">
        <v>0</v>
      </c>
      <c r="J27" s="8">
        <v>0</v>
      </c>
      <c r="K27" s="8">
        <v>0</v>
      </c>
      <c r="L27" s="9">
        <v>0</v>
      </c>
      <c r="M27" s="8">
        <v>0</v>
      </c>
      <c r="N27" s="8">
        <v>0</v>
      </c>
      <c r="O27" s="8" t="s">
        <v>299</v>
      </c>
      <c r="P27" s="10">
        <v>0</v>
      </c>
      <c r="Q27" s="11" t="s">
        <v>299</v>
      </c>
      <c r="R27" s="11" t="s">
        <v>299</v>
      </c>
      <c r="S27" s="11" t="s">
        <v>210</v>
      </c>
      <c r="T27" s="11" t="s">
        <v>299</v>
      </c>
      <c r="U27" s="11" t="s">
        <v>299</v>
      </c>
      <c r="V27" s="11" t="s">
        <v>331</v>
      </c>
      <c r="W27" s="11" t="s">
        <v>332</v>
      </c>
      <c r="X27" s="11" t="s">
        <v>299</v>
      </c>
      <c r="Y27" s="11" t="s">
        <v>333</v>
      </c>
      <c r="Z27" s="12">
        <v>45982</v>
      </c>
      <c r="AA27" s="13" t="s">
        <v>97</v>
      </c>
      <c r="AB27" s="13" t="s">
        <v>97</v>
      </c>
      <c r="AC27" s="14" t="e">
        <v>#N/A</v>
      </c>
      <c r="AD27" s="15" t="s">
        <v>334</v>
      </c>
    </row>
    <row r="28" spans="1:30" x14ac:dyDescent="0.25">
      <c r="A28" s="5">
        <v>27</v>
      </c>
      <c r="B28" s="6" t="s">
        <v>335</v>
      </c>
      <c r="C28" s="7" t="s">
        <v>336</v>
      </c>
      <c r="D28" s="7" t="s">
        <v>336</v>
      </c>
      <c r="E28" s="7" t="s">
        <v>73</v>
      </c>
      <c r="F28" s="7" t="s">
        <v>126</v>
      </c>
      <c r="G28" s="8">
        <v>108.12905000000001</v>
      </c>
      <c r="H28" s="8">
        <v>10.812905000000001</v>
      </c>
      <c r="I28" s="8">
        <v>0</v>
      </c>
      <c r="J28" s="8">
        <v>10.812905000000001</v>
      </c>
      <c r="K28" s="8">
        <v>0</v>
      </c>
      <c r="L28" s="9">
        <v>97.316145000000006</v>
      </c>
      <c r="M28" s="8">
        <v>0</v>
      </c>
      <c r="N28" s="8">
        <v>0</v>
      </c>
      <c r="O28" s="8" t="s">
        <v>299</v>
      </c>
      <c r="P28" s="10">
        <v>0.1</v>
      </c>
      <c r="Q28" s="11" t="s">
        <v>299</v>
      </c>
      <c r="R28" s="11" t="s">
        <v>299</v>
      </c>
      <c r="S28" s="11" t="s">
        <v>337</v>
      </c>
      <c r="T28" s="11" t="s">
        <v>299</v>
      </c>
      <c r="U28" s="16" t="s">
        <v>338</v>
      </c>
      <c r="V28" s="11" t="s">
        <v>339</v>
      </c>
      <c r="W28" s="11" t="s">
        <v>340</v>
      </c>
      <c r="X28" s="11" t="s">
        <v>299</v>
      </c>
      <c r="Y28" s="11" t="s">
        <v>341</v>
      </c>
      <c r="Z28" s="12">
        <v>45988</v>
      </c>
      <c r="AA28" s="13" t="s">
        <v>97</v>
      </c>
      <c r="AB28" s="13" t="s">
        <v>97</v>
      </c>
      <c r="AC28" s="14" t="e">
        <v>#N/A</v>
      </c>
      <c r="AD28" s="15" t="s">
        <v>342</v>
      </c>
    </row>
    <row r="29" spans="1:30" x14ac:dyDescent="0.25">
      <c r="A29" s="18">
        <v>28</v>
      </c>
      <c r="B29" s="19" t="s">
        <v>343</v>
      </c>
      <c r="C29" s="20" t="s">
        <v>344</v>
      </c>
      <c r="D29" s="20" t="s">
        <v>345</v>
      </c>
      <c r="E29" s="20" t="s">
        <v>73</v>
      </c>
      <c r="F29" s="20" t="s">
        <v>87</v>
      </c>
      <c r="G29" s="21">
        <v>1640</v>
      </c>
      <c r="H29" s="21">
        <v>0</v>
      </c>
      <c r="I29" s="21">
        <v>0</v>
      </c>
      <c r="J29" s="21">
        <v>0</v>
      </c>
      <c r="K29" s="21">
        <v>0</v>
      </c>
      <c r="L29" s="22">
        <v>1640</v>
      </c>
      <c r="M29" s="21">
        <v>0</v>
      </c>
      <c r="N29" s="21">
        <v>0</v>
      </c>
      <c r="O29" s="23" t="s">
        <v>346</v>
      </c>
      <c r="P29" s="24">
        <v>0</v>
      </c>
      <c r="Q29" s="25" t="s">
        <v>347</v>
      </c>
      <c r="R29" s="25" t="s">
        <v>348</v>
      </c>
      <c r="S29" s="25" t="e">
        <v>#N/A</v>
      </c>
      <c r="T29" s="25" t="s">
        <v>349</v>
      </c>
      <c r="U29" s="26" t="s">
        <v>350</v>
      </c>
      <c r="V29" s="25" t="s">
        <v>354</v>
      </c>
      <c r="W29" s="25" t="s">
        <v>354</v>
      </c>
      <c r="X29" s="25" t="s">
        <v>351</v>
      </c>
      <c r="Y29" s="25" t="s">
        <v>354</v>
      </c>
      <c r="Z29" s="27">
        <v>0</v>
      </c>
      <c r="AA29" s="28" t="s">
        <v>97</v>
      </c>
      <c r="AB29" s="28" t="s">
        <v>97</v>
      </c>
      <c r="AC29" s="29" t="s">
        <v>344</v>
      </c>
      <c r="AD29" s="30" t="s">
        <v>352</v>
      </c>
    </row>
  </sheetData>
  <conditionalFormatting sqref="T2:Y29 P2:R29">
    <cfRule type="dataBar" priority="1">
      <dataBar>
        <cfvo type="num" val="0"/>
        <cfvo type="num" val="1"/>
        <color rgb="FF008AEF"/>
      </dataBar>
      <extLst>
        <ext xmlns:x14="http://schemas.microsoft.com/office/spreadsheetml/2009/9/main" uri="{B025F937-C7B1-47D3-B67F-A62EFF666E3E}">
          <x14:id>{21AF6694-430E-403A-A0B9-AB278D4C4A97}</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21AF6694-430E-403A-A0B9-AB278D4C4A97}">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T2:Y29 P2:R29</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2025-12-15T06:15:40Z</dcterms:created>
  <dcterms:modified xsi:type="dcterms:W3CDTF">2025-12-15T06:19:45Z</dcterms:modified>
</cp:coreProperties>
</file>