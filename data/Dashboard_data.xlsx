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https://cmscomputersindia-my.sharepoint.com/personal/avdhoot_rao_cms_co_in/Documents/D Drive/streamlit_dashboard/data/"/>
    </mc:Choice>
  </mc:AlternateContent>
  <xr:revisionPtr revIDLastSave="0" documentId="8_{F9F6295D-79D3-430C-A76C-A00BDE4FF35E}" xr6:coauthVersionLast="47" xr6:coauthVersionMax="47" xr10:uidLastSave="{00000000-0000-0000-0000-000000000000}"/>
  <bookViews>
    <workbookView xWindow="-120" yWindow="-120" windowWidth="20730" windowHeight="11040" xr2:uid="{5E023502-5D67-47B8-B4CF-D902B1FD19D7}"/>
  </bookViews>
  <sheets>
    <sheet name="Data_summary"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<sst xmlns="http://schemas.openxmlformats.org/spreadsheetml/2006/main" count="602" uniqueCount="405">
  <si>
    <t>SN</t>
  </si>
  <si>
    <t>Project</t>
  </si>
  <si>
    <t>search_db</t>
  </si>
  <si>
    <t>Project1</t>
  </si>
  <si>
    <t>Region</t>
  </si>
  <si>
    <t>Type</t>
  </si>
  <si>
    <t>Total PO Amt</t>
  </si>
  <si>
    <t>Billed Till Date</t>
  </si>
  <si>
    <t>Accrual</t>
  </si>
  <si>
    <t>Total Revenue</t>
  </si>
  <si>
    <t>Open AR</t>
  </si>
  <si>
    <t>Open Billing</t>
  </si>
  <si>
    <t>Billed YTD_FY25-26</t>
  </si>
  <si>
    <t>Current Month Billing</t>
  </si>
  <si>
    <t>Project Duration</t>
  </si>
  <si>
    <t>Billed</t>
  </si>
  <si>
    <t>Billing Milestone</t>
  </si>
  <si>
    <t>Project Dates</t>
  </si>
  <si>
    <t>Resource</t>
  </si>
  <si>
    <t>Milestone billing amount</t>
  </si>
  <si>
    <t>Scope</t>
  </si>
  <si>
    <t>Overall Progress</t>
  </si>
  <si>
    <t>Weekly Plan</t>
  </si>
  <si>
    <t>Technology / tools</t>
  </si>
  <si>
    <t>Challenges / Risks</t>
  </si>
  <si>
    <t>Update Date</t>
  </si>
  <si>
    <t>Profit_YTD MIS</t>
  </si>
  <si>
    <t>Profit_FY24-25_MIS</t>
  </si>
  <si>
    <t>search_db1</t>
  </si>
  <si>
    <t>Project Manager / Lead</t>
  </si>
  <si>
    <t>INVEST INDIA</t>
  </si>
  <si>
    <t>PMG INVEST INDIA</t>
  </si>
  <si>
    <t>North</t>
  </si>
  <si>
    <t>Application Maintenance</t>
  </si>
  <si>
    <t>36 Months</t>
  </si>
  <si>
    <t>Monthly</t>
  </si>
  <si>
    <t>Start Date (PO) : 17-Jul-23 :: End Date (PO) : 16-Jul-26</t>
  </si>
  <si>
    <t>15</t>
  </si>
  <si>
    <t>23.34 L</t>
  </si>
  <si>
    <t>Hiring of Professionals for --
Application Development and Maintenance – 36 months 
Front End and Back End developer – 8 Resources
Full Stack developer, Solution Architect, QA Engineer, UI/UX designer, business analyst, QA automation tester, Project Manager – 1 resource each</t>
  </si>
  <si>
    <t xml:space="preserve">S.no  Bucket name     No. of Tasks
  1.      No Status    =   15
  2.      Estimation   =   10
  3.     Designing    =    10
  4.     To Do        =    20
  5.     In Progress  =    08
  6.     Under QA Testing = 04
  7.     User Acceptance Testing (UAT) = 23
  8.     Released on Production = 318
  9.     Closed       = 132
  </t>
  </si>
  <si>
    <t>3 tasks</t>
  </si>
  <si>
    <t>HTML,CSS,React,java, spring boot,Elastic,mysql AWS,Postman,Jenkins,CI/CD,Kibana,GIT,Docker</t>
  </si>
  <si>
    <t>1) 5 Months payment pending.
2)Bill submitted upto JAN.</t>
  </si>
  <si>
    <t>Amit K</t>
  </si>
  <si>
    <t>SBM-U</t>
  </si>
  <si>
    <t>SWACHH BHARAT MISSION - SBM URBAN</t>
  </si>
  <si>
    <t>SWACHH BHARAT MISSION - SBM</t>
  </si>
  <si>
    <t>Start Date (PO) : 10-Jan-24 :: End Date (PO) : 09-Jan-27</t>
  </si>
  <si>
    <t>25 resources on-boarded. (16 resources from GAIA – 09 from CMS)</t>
  </si>
  <si>
    <t>45.06 L</t>
  </si>
  <si>
    <t>Development, Maintenance and operations of an Integrated Portal for SBM used by the MoHUA
Update and maintain the various modules and functionalities developed as a part of the “Integrated Swachhatam” portal
update and maintain all mobile applications developed
Resolve all the bugs, issues and queries raised for these developed functionalities</t>
  </si>
  <si>
    <t xml:space="preserve">1. 25 resources on-boarded. (16 resources from GAIA – 09 from CMS)
2. Payment received till Dec’25, expecting payment for Jan’25 in this week.
3. Prayash Data Pushed for Jan’26
4. New SBM Dashboard ver2.0 (SWM, Legacy waste &amp; Toilets): state coordinators to verify data of their states.
5. DRAP Action plan (Micro)- deployed at staging/production. Changes ongoing.
6. GFC Indicator logic implemented in DB and changes ongoing in UI side.
7. Website updates ongoing: Trash Tales, Banner Updated.
8. DRAP Dashboard recreated &amp; deployed on staging.
9. Landfill Dashboard recreated &amp; deployed on staging.
10. Swachh City : PROD done, fixing of minor issues ongoing.
11. Toilet related requirement received, analysis done  &amp; shared with PMU
12. SBM Action Plan &amp; City Facilities mobile App: document awaited from ESRI after fixing. ESRI shared .apk files. 
13. Whatsapp integration with Swachhata App: development done, fine-tuning ongoing
</t>
  </si>
  <si>
    <t xml:space="preserve">1. Maintenance activities: Daily ULB support, Website changes ongoing.
2. New SBM Dashboard 2.0 development: Data to be verifed by state coordinator.
3. SS Activities : Mobile Apps – F2F sessions ongoing, DB changes ongoing at SBM. Citizen feedback questionnaire to be finalized. Citizen feedback UI changes design finalized.
4. Swachh City: Fixing ongoing for minor issues. Home page restructuring ongoing.
5. Closure of Cert-In audit findings for SBM Action Plan/City Facilities mobile app by ESRI.
6. Swachhata Citizen App &amp; whatsapp integration
7. DRAP dashboard updation on the feedback from DS
</t>
  </si>
  <si>
    <t>Angular, AWS Cloud, mySQl, Posgresql, NodeJS, Java, MongoDB, RESTAPI, HTML, PHP, MicroService, Quicksight,CSS, Flutter</t>
  </si>
  <si>
    <t xml:space="preserve">Major Challenges:
1. Majority of team members working remotely.
2. Interviews are ongoing to replace remote team members
</t>
  </si>
  <si>
    <t>Anoop K</t>
  </si>
  <si>
    <t>ORGI</t>
  </si>
  <si>
    <t>orgi OFFICE OF REGISTRAR GENERAL OF INDIA - CRS</t>
  </si>
  <si>
    <t>OFFICE OF REGISTRAR GENERAL OF INDIA - CRS</t>
  </si>
  <si>
    <t>2 Years</t>
  </si>
  <si>
    <t>Start Date (PO) : 02-Apr-24 :: End Date (PO) : 01-Apr-26</t>
  </si>
  <si>
    <t>26</t>
  </si>
  <si>
    <t>35.2 L</t>
  </si>
  <si>
    <t>Maintenance, operations &amp; enhancement of ORGI CRS Web and Mobile Application(s) including migration of legacy data from State CRS applications to ORGI CRS and vice-versa through APIs.
Resources for 2 years as below –
Data Analytics, Database Administrator, Mobile App. Developer Android, Mobile App. Developer iOS, System Admin, Team Lead/Technical Project Manager, Training and Change Management Engineer, UI / Web Designer - 1 resource each.
API Developers, Quality Assurance/ Test Engineer, Senior Application Developers – 2 resource each
Application Developers, Technical Support (helpdesk) – 6 resource each</t>
  </si>
  <si>
    <t>1 26 Resource deployed.
2. Oracle Interactive Analytics Dashboard for Birth &amp; Death Statistics with dynamic charts, KPIs, and visual data insights.
3. iOAS and Android App
4. State onboard is on going.
5. Receive and provide Data from Non CRS State through API.
6. AADHAR , TRANSLITRATION and Payment Integrations.
7. DB,System performance and monitoring continue above 99.6 % availability.
8. Bag resoluation
9. Development of new Module is under process as per CRS requirement.
10.DC and DR Sync up , Horizontal and vertical scalling.</t>
  </si>
  <si>
    <t>Nov payment under process from IFA.
Dec Approval ongoing.
Jan doc verification ongoing.
Payment History Enhancement
DAST Security Audit 
C-DAC Security Audit
Code Review with Dept
DR site Testing in SNAPSHOT Mode.
Download Certificate through SMS Link
Profile Strengthening for DR
Generate FLag for uneven registration</t>
  </si>
  <si>
    <t>Node JS, Android, iOS, ORACLE database , REST, API design, HTML, CSS, JavaScript, JSON, IIS/ Apache, Linux, Aadhaar Vault, NSDL PayGov, C-DAC</t>
  </si>
  <si>
    <t xml:space="preserve">
1 Delete copyed Data in DMS server.
2 Improve security of Portal
3.Oracle Old Patch Updation
4 Telengana State Onboarding on CRS Portal- 1 st March
5.DB table cleaning</t>
  </si>
  <si>
    <t>Dhananjay J</t>
  </si>
  <si>
    <t>ECCS NEW</t>
  </si>
  <si>
    <t>EXPRESS CARGO CLEARANCE SYSTEM – ECCS NEW 2.0</t>
  </si>
  <si>
    <t>EXPRESS CARGO CLEARANCE SYSTEM – ECCS 2.0</t>
  </si>
  <si>
    <t>West</t>
  </si>
  <si>
    <t>2 years (incl. 3 month HOTO)</t>
  </si>
  <si>
    <t>Quarterly</t>
  </si>
  <si>
    <t>Start Date (PO) : 26-Sep-24 :: End Date (PO) : 25-Sep-26</t>
  </si>
  <si>
    <t>68</t>
  </si>
  <si>
    <t>287.27 L</t>
  </si>
  <si>
    <t>Application Support, Onsite support Helpdesk Operations and Maintenance Services and upkeep of the ECCS Application
Manage and deliver current and proposed CRs  
Deployment of Project Management  software tools as per RFP
Technological Upgradation of ECCS application The vendor is responsible for ECCS application technological upgrade.
Application Upgrade       
Version Upgrade
Architecture Upgrade
User Interface Upgrade</t>
  </si>
  <si>
    <t xml:space="preserve">OND payment passed through WZU and sent to PAO.
Approval processed start for SLA document by ADG Sir
SEZ is in progress as committed. </t>
  </si>
  <si>
    <t xml:space="preserve">Getting Jan2026 attendance approved from WZU.
Getting Approval from ADG Sir for Payment
Keep SEZ on Track.
Need to provide reply on TATWA report. </t>
  </si>
  <si>
    <t>Java Struts, For upgrade - TBD</t>
  </si>
  <si>
    <t>Timeline received for Return and Reject, RTO CR. which need to complete with SEZ.</t>
  </si>
  <si>
    <t>Rahul S / Asmita S</t>
  </si>
  <si>
    <t>PFRDA</t>
  </si>
  <si>
    <t>PENSION FUND REGULATORY AND DEVELOPMENT AUTHORITY - PFRDA</t>
  </si>
  <si>
    <t>Software Development</t>
  </si>
  <si>
    <t>1 yr Proj + 1 Yr Warr + 4 Yr AMC</t>
  </si>
  <si>
    <t xml:space="preserve">10% SRS ( 2m), 10% UAT( 7m), 10% VAPT/Audit  ( 8m), 50% Implementation (9m), 10% training( 10m), 10% final Go-live ( 12m) for Solution cost of 622 L </t>
  </si>
  <si>
    <t>Start Date (PO) : 18-Dec-23 :: End Date (PO) : 17-Dec-29</t>
  </si>
  <si>
    <t>29</t>
  </si>
  <si>
    <t>As per achievment</t>
  </si>
  <si>
    <t>Design, development, implementation and maintenance of PFRDA intranet portal(PINTRA) - internal digitalization (HRMS and finance) along with mobile app for HRMS
Modules – HRMS, Finance, Admin, Legal, IT Management System
9 months Go-Live + 3 months Stabilisation + 1 Year Warranty + 4 Years AMC
Payment Milestone : 10% SRS ( 2m), 10% UAT( 7m), 10% VAPT/Audit  ( 8m), 50% Implementation (9m), 10% training( 10m), 10% final Go-live ( 12m) for Solution cost of 622 L 
Quarterly Payment for below;
FMS during Warranty – 0.5 L / Qtr for 4 Qtr = 2 L
MeitY empanelled GCC / VPC – 13.5 L/Qtr for 20 Qtr = 271 L
Support Payment for Operations – 17.6 L/Qtr for 20 Qtr = 354 L
CR – 17 L as &amp; when required</t>
  </si>
  <si>
    <t>We are currently in the stabilization period. Production-related issues are being addressed, and standard processes are being established.
Finance module UAT points are being taken care of. The Housing Loan demo has been scheduled. 9/9C activities are in progress.
The ticketing tool is currently under testing by TARCH, and the BI tool team has been informed to proceed with usage.</t>
  </si>
  <si>
    <t xml:space="preserve">Plan to Close Finance UAT points  and Stabilization issue </t>
  </si>
  <si>
    <t>Spring Boot, Odoo, React JS, Apache, PostgreSQL, Postman, Moodle, Figma, Ubuntu, AWS Cloud, Flutter, React, Node JS</t>
  </si>
  <si>
    <t xml:space="preserve">Resource Replacement </t>
  </si>
  <si>
    <t>Dharmendra J</t>
  </si>
  <si>
    <t>DIC NHAI</t>
  </si>
  <si>
    <t>DIGITAL INDIA CORPORATION - NATIONAL HIGHWAY AUTHORITY OF INDIA DIC NHAI</t>
  </si>
  <si>
    <t>DIGITAL INDIA CORP - NATIONAL HIGHWAY AUTHORITY OF INDIA</t>
  </si>
  <si>
    <t>3 Years</t>
  </si>
  <si>
    <t>Track 1 (2m) - 10%, Track 2 (4m) – 20%, Track 3 (6m) – 20%, 8m – 50%</t>
  </si>
  <si>
    <t>Start Date (PO) : 13-Nov-24 :: End Date (PO) : 12-Nov-27</t>
  </si>
  <si>
    <t>52</t>
  </si>
  <si>
    <t>As per achievment, Phase 1 - 321 L, Phase 2 onwards - 350 L</t>
  </si>
  <si>
    <t>Developing and Maintaining a state-of-the-art Application to support transaction-based business processes covering entire lifecycle of National Highway projects of NHAI – Data Lake 2.0 upgradation.
Payment Phase &amp; milestone wise
Track 1 (2m) - 10%, Track 2 (4m) – 20%, Track 3 (6m) – 20%, Track 4 (8m) – 50%
Every phase of 6 months.
Deployment of proposed 33 resources. (+5 in phase 2)</t>
  </si>
  <si>
    <t>→ Phase I updates
→ Phase 1 all 4 tracks billing completed.
→ Payment received till Track 4 for Phase 1.
→ All Nine modules of Phase I development &amp; production deployment is done.
→ Drone moved to Phase II.
→ Billing submitted for Phase II.
→ Phase II documentation for the modules developed till date has been submitted to DIC.
→ Phase II updates
→ Modules deployed on production
Team Structure, BICRS, Highway QR, Road Closure, Document Repository, Critical Correspondence, Json API Setu for Road Closure, MoRTH &amp; NHIDCL, Road Closure Enhancement,Deployment of NHIDCL and MoRTH,RSA Edit Observation, BICRS ATR (Enhancement), RSA Remarks (multiple feedbacks), Merge Contracts
- Requirement gathering done for
On boarding of DPR Consultant, Physical and Financial Progress, Issuance of NCR, Drone Video Report, NSV Surveys/Priority Maintenance, User fees agency, Payment to AE/IE, Digitalization of Schedule H, CO Division (Onboarding, Toll Master), Road Accident Monitoring and Reduction API, Onboarding O &amp; M Agency and Other Agency, BICRS ATR Enhancement, Contractor Onboarding, Digital O &amp; M MPR, LAC-1 (Alignment Approval), LAC- 2 (Plan approval), Critical Issues and Actions, Digital MPR(Construction),LOA Issuance of DPR Consultant, Appointment / DPR Personnel
- Requirement gathering in progress for
3H Paymnent for Land Acquisition - API, Utility Shifting, Critical Issues and Actions, Outstanding Payments, Rectification of Blackspots, Toll Collection API, Contractor Payment (During Maintainance), Monitoring 3A, Monitoring 3D, 3G Declaration of Award, 3 H Payment Land Aquisition, Application Permits, Utility Shifting, DPR Preparation, Submission and Review, Monitoring - 3A status - API, Monitoring - 3D status - API, 3G Declaration of Award - API, 3H Payment for Land Acquisition - API, Applicable Permits (Contractors/ NHAI), Utility Shifting, Payment for Contractor/Concessionaire during construction, Onboarding of Consultant (AE/IE/SC), Joint Memorandum of Handing over of Land or providing ROW, Design and Drwaing Submission Revision, Submission and Approval of Work Programme, Contractor manpower Deployment, Equipment Deployment, Construction Methodology, Quality Assurance Plan, Quality Inspection by SRDQ, Quality Inspection by PD / RO / GM, EoT, CoS/Withdrawl of Work, Surplus Land Monitoring, PCC / PCOD, Punchlist Monitoring, CC / COD
- Design in Progress
LAC-1 (Alignment Approval) - Review Pending
LAC- 2 (Plan approval) - Review Pending
Critical Issues and Actions
Onboarding of DPR consultant
LOA Issuance of DPR Consultant
Appointment / DPR Personnel
Critical Issues and Actions
- Module development in progress on
Issuance of NCR
Payment to AE/IE
NSV Surveys/Priority Maintance
Drone Video Report
Contractor Onboarding
Contractor Payment
Blackspot Mitigation and Monitoring System
MPR Maintenance
Onboarding of DPR Consultant
Accidents API
- Enhancements
Road Maintenance - offline /online solution
RSA tech optimization
TM - Scope based implementaion
TM - status update
Custom Pagination for all listing pages across application.
- Miscellaneous
API Performance
Query Optimisation
API versioning
Xray Implementation
Security fixes - generic to all modules</t>
  </si>
  <si>
    <t>→ UAT of Issuance of NCR, NSV, Payment to AE/IE &amp; API Versioning
→ Critical Issues, LAC-1 (Alignment Approval), LAC- 2 (Plan approval)
→ Feedbacks from field visit across modules.</t>
  </si>
  <si>
    <t>No-SQL, Ruby, Python, Java, HTML, CSS, JavaScript, Angular, React, GIS/ML, Cloud - TBD, Node JS, Rest API</t>
  </si>
  <si>
    <t>→ Phase II timelines are tight considering the workload and late onboarding of additional resources.
→ Replacement of BAs still pending
→ Scope addition / Change Requests in ongoing development, even on the final day</t>
  </si>
  <si>
    <t>Mukul K / Agam V</t>
  </si>
  <si>
    <t>DAnFW</t>
  </si>
  <si>
    <t>DEPARTMENT OF AGRICULTURE CORPORATION AND FARMER WELFARE DIVISION MINISTRY MAOFW DANFW DACFW dept of agri.</t>
  </si>
  <si>
    <t>DEPT OF AGRICULTURE CORP &amp; FARMER WELFARE</t>
  </si>
  <si>
    <t>Start Date (PO) : 05-Dec-24 :: End Date (PO) : 04-Dec-26</t>
  </si>
  <si>
    <t>50</t>
  </si>
  <si>
    <t>67.88 L</t>
  </si>
  <si>
    <t>Deployment of technical resources for application development, customization and maintenance for ‘digital agriculture division, DA&amp;FW’
Deployment of required 34 resources.
1 resource each – Team Lead, Sr Mobile Developer, tester, BA, content management expert.
2 resource each – Full stack/Sr Developer, UI/UX, API developer, mobile developer, dashboard expert, e-office support.
3 resource each – Sr Front end developer, VC support
5 resource – Full stack developer (&gt;6 to &lt;10 yrs.)
6 resource – Full stack developer (&gt;3 to &lt;6 yrs.)
Deployment of 16 resources on need basis.</t>
  </si>
  <si>
    <t xml:space="preserve">1] Krishi Mapper :
A. Master Dashboard Assign Target : Deployed on production for all the schemes : Target Achived API is implemented :verification is going on..
some changes has been proposed for landarea and polygon area....discussion comnpleted...now working on calcualtion of polygon area
c. State APIs :Soil health card API consumption in progress...state wise API Andhra pradesh Natural farming
d. User Management Assign Target : deployed over production..asked all the scheme owner to insert target..verfification of data is in progress
e. Edit functionality in mobile APP for updating the FY year and plot area. : rkvy/NF schemd has been done...working on other scheme
f. KM 2.0 : functionality discussion is done : working on current database migration
2] Natural Farming:
a. Rectifying and checking issue/points raised from different state regarding data upload in portal
3}. KY portal : developed all the module and asked client/consultant to walkover and check it
4. Agristack Dashboard : DCS dashboard changes has been proposed . clarity has been provided ...working on the API
FR Dashboard Data verification has been in process and also new dashboard as been deployed over production
</t>
  </si>
  <si>
    <t>1.Assign Target Assets : for scheme nmeo-os...changes has been proposed. 
2. NMEO-OP Assets : KM APP
3.Survey Details export excel feature with all mandatory data scheme wise
4.KM 2.0 : development start</t>
  </si>
  <si>
    <t>C#, ASP.NET, MVC, .NET Core, Visual Studio, HTML5, CSS3, RESTful API, MERN, flutter, react Native, MS SQL, e-Office</t>
  </si>
  <si>
    <t>Priority task changes frequently which affect the development.
addition / Change Requests in ongoing development</t>
  </si>
  <si>
    <t>Sourav M / Ravi R</t>
  </si>
  <si>
    <t>GWALIOR SC ICCC</t>
  </si>
  <si>
    <t>Smart City</t>
  </si>
  <si>
    <t>62 month (incl. 2 mnth HOTO)</t>
  </si>
  <si>
    <t>FMS – 11 L + Taxes (monthly billing)
O&amp;M – 13 L + Taxes (quarterly billing)
Audit – 8 L + Taxes (yearly billing for 1st Year)
Upgradation – 324 L + Taxes (60% - 194 L)</t>
  </si>
  <si>
    <t>Start Date (PO) : 30-Aug-24 :: End Date (PO) : 31-Oct-29</t>
  </si>
  <si>
    <t>32</t>
  </si>
  <si>
    <t>As per milestone</t>
  </si>
  <si>
    <t>ICCC &amp; DC upgradation with 5 years comprehensive AMC – 60% on SITC &amp; 2% every Quarter with O&amp;M payment
CAMC of existing IT &amp; non-IT infra -  quarterly payment
Manpower services: 39+1(non-billable) – monthly payment 
ICCC certifications – Yearly payment
Provision – as &amp; when required.</t>
  </si>
  <si>
    <t>1 &amp; Q2&amp; Q3 &amp; Q4(Aug-25 to Oct. 25) payment and 60% Capex payment and also 2% capex payment released.
32 Manpower deployed as per client requirements.
ISO Certification Documents parts ready some parts are pending to client end for Audit.(Reminder 2 Letter submitted to client)
IT Equipment like server, Tape library &amp; switch and San storage AMC not start yet.(this is very critical,)-Pending from HO &amp; Purchase team &amp; Sales team.
SAN Storage issue pending long time but so solution received from HO.</t>
  </si>
  <si>
    <t>Q-5(Nov.25 - Jan.26) Documents preparation Work for billing.
Videowall repaired on 28th Nov. bill submitted to Insurance team for payment. (Hardcopy submitted for payment.(Follow-up mail drop to insurance team for payment)
Q.5(Nov.25 - Jan.26) PM activity and breakdown issues resolve as per requirement.
Letter submit to client for ISO certificate.(yesterday ISO audit team discussion he will check any other solution for get certificate)- Reminder letter submission to client in coming week.
IT Equipment like server, Tape library &amp; switch and San storage AMC not start yet.(this is very critical,)-Pending from HO &amp; Purchase team.
SAN storage discussion from HO for closer.</t>
  </si>
  <si>
    <t>NA</t>
  </si>
  <si>
    <t>IT Equipment like server, Tape library &amp; switch and San storage AMC not start yet.(this is very critical, as per our RFP in Tape library take 6 months camera feed and other storage but currently there is no solution )-Pending from HO &amp; Purchase team.
For ISO CERTIFICATION PUSH TO Client FROM OUR SALES TEAM.-Letter submit to client for help to close ISO.
SAN Storage issue is very critical ,our Q5 Bill not proceed without this issue resolution.</t>
  </si>
  <si>
    <t>Sachin S</t>
  </si>
  <si>
    <t>Kanpur SC O&amp;M</t>
  </si>
  <si>
    <t>Kanpur SC O&amp;M tech mahindra TECHM</t>
  </si>
  <si>
    <t>42 month</t>
  </si>
  <si>
    <t>Start Date (PO) : 01-Jan-23 :: End Date (PO) : 25-Jun-26</t>
  </si>
  <si>
    <t>43</t>
  </si>
  <si>
    <t>381 L</t>
  </si>
  <si>
    <t>O&amp;M support, AMC of all BOQ. Maintenance of Hardware, Network, Software, ICT Infrastructure, L1 , L2, L3 &amp; OEM Support of all field solutions, DC &amp; DR and applications for 42 months ( 50 junctions )
BG for 762 L to be submitted, advance payment of 2 Qtrs will be released  after signing SOW. BG would be returned back to CMS after 4 Qtrs.
PBG of 3% of balance of TCV (137 L) to be submitted at end of Qtr 4.</t>
  </si>
  <si>
    <t>1)Jan23 to Jun26 (Total 10 quarters payment released- 75%)
2) Billing done for AMJ’25 Qtr amounting to INR 3.81 Lacs</t>
  </si>
  <si>
    <t>1) Work in progress for expedition of ANPR camera installation for EXIT at 10 sites proposed from client. 
2) Coordination with vendor Videonetics for UAT towards their implemented application in compliance towards the client’s requirement.
3) Forecasting of material requirement for ATCS-23 junction works.
4) Discussion with Tech-M towards commercial quotation provided for 4 routes where dismantling is instructed from Setu Nigam Dept.
5) Weekly testing for onsite Speed Calibration for ITMS-SVD
6) Coordination with Tech-M for Metro Inventory consolidation
7) Reimbursement of recurring charges from Tech-M
8) Follow-up with purchase on procurement of batteries, Nova-star –multimedia player, LED Screen Hub Board &amp; Receiving Card.
9) Requirement of 50 sims for EMS device.
10) W-I-P of smart parking sensors, gateways, anteenas. installation Completed sites: Lajpat Bhavan(35), Chamber of commodities (22).
11) Inventory Consolidation for material at sites which are out of network.
12) Expedition on 16 sites out of ATCS -23 junctions for making it operational. 
13) Troubleshooting of Videonetics ITMS application exhibiting “0”kmph.
14) Exploring VMSB issue resolution to make it live.
15) Replacement of batteries at D.C on priority.
16) Hiring for 3 position in the project for Field Lead, ICCC Operator, Field Engg. Though candidate shortlisted for ICCC operator client yet to approve on candidate.</t>
  </si>
  <si>
    <t>1) Client’s requirement of UAT report towards Videonetics application implemented from CMS if not complied shall face impediment from client while the project closure. 
2) Exhibit of “0” Kmph speed in Videonetics-ITMS application detected for moving vehicles categorically for 2 wheelers.
3) Resolution from Videonetics towards application’s database issues.  
4) Further client wants Videonetics team to be onsite for solving all the issues causing the downtime of their applications.
5) Delivery of Batteries if prolonged the client has already indicated that the purchase shall be effected from their side and recovered from receivables of CMS . 
6) VMSB devices facing recurring problems (dark spots, LAN Cards, black lines, component failures). Smart Parking sensors &amp; VMSB card-related issues.
7) ATCS 23 junction activity work has suffered due to vendor M/s SPIT inactions in expediting works
8) DR/DC – The OEM ESDS services has expired in Dec’24 and has been disabled.  
9) Client’s requirement of inventory list.
10) Trade Licenses renewal.
11) Unavailability of resource for the position of Field Team Lead since Nov’25 is hampering the site activities tasks.
12) Smart parking- Nova Star multimedia player, LED Screen Hub Board &amp; Receiving Card delay in procurement will also delay the delivery of solution to client</t>
  </si>
  <si>
    <t>Saleel H</t>
  </si>
  <si>
    <t>NMPT</t>
  </si>
  <si>
    <t>NEW MANGALORE PORT TRUST - NMPT</t>
  </si>
  <si>
    <t>South</t>
  </si>
  <si>
    <t>CRP</t>
  </si>
  <si>
    <t>5 years</t>
  </si>
  <si>
    <t>Start Date (PO) : 01-Jul-24 :: End Date (PO) : 01-Jul-29</t>
  </si>
  <si>
    <t>7.3 L</t>
  </si>
  <si>
    <t>Operation and Comprehensive annual Maintenance Contract (CAMC) of the RFID System for a Period of 5 years at NMPA.
FMS – 12 data entry operators, 2 Technician, 1 Service Engineer
Replacement of existing Infrastructure in 1st year. – 197 L (inc. KK &amp; Cruise gate augmentation).
Payment within 15 days after SITC of replacement. 
Integration with existing system.</t>
  </si>
  <si>
    <t xml:space="preserve">March April 2025 payment is already processed from NMPA.
May to Dec 2025 CAMC invoice is already submitted to NMPA for payment process.
FOT and PF gate order excursion need to be started. customer timeline is end of Feb 2026.
CEL and CMS integration is in progress.
Few other software changes are pending for our end
 </t>
  </si>
  <si>
    <t>3. M/s. CMS shall complete the respective works in KIOCL FOT Gates as per WO No. NMPA/CME/2023-24/RFID dtd 27.11.2025, latest by 28th February 2026.
4. M/s. CMS shall complete FRS camera installation and commissioning, latest by 28th February 2026.
5. M/s. CMS shall complete the implementation of Online pass issuance through FRS for Shore Leave Pass (SLP) and Sign-On/Off Pass for Crew/Supernumerary of Indian Flag on Coastal Run Vessels, latest by 16th February 2026.
6. M/s. CMS shall provide the logic and process/work flow for implementing Fastag based Gate Access System for the entire Port at the earliest.
7. After any major damage is caused accidentally by any third party to the hardware and system used, M/s. CMS shall rectify and take the system into full fledged functioning within a maximum period of 07 (seven) days.</t>
  </si>
  <si>
    <t xml:space="preserve">SO is not yet generated,
FOT and PF gate order excursion need to be started. customer timeline is end of Feb 2026.
Payment gateway integration is delayed from our end
3. M/s. CMS shall complete the respective works in KIOCL FOT Gates as per WO No. NMPA/CME/2023-24/RFID dtd 27.11.2025, latest by 28th February 2026.
4. M/s. CMS shall complete FRS camera installation and commissioning, latest by 28th February 2026.
5. M/s. CMS shall complete the implementation of Online pass issuance through FRS for Shore Leave Pass (SLP) and Sign-On/Off Pass for Crew/Supernumerary of Indian Flag on Coastal Run Vessels, latest by 16th February 2026.
6. M/s. CMS shall provide the logic and process/work flow for implementing Fastag based Gate Access System for the entire Port at the earliest.
</t>
  </si>
  <si>
    <t>Prashant P</t>
  </si>
  <si>
    <t>Vadodara Traffic</t>
  </si>
  <si>
    <t>VADODARA VMC TRAFFIC</t>
  </si>
  <si>
    <t>SITC 4 Mths  &amp;  O&amp;M -  5 Yrs</t>
  </si>
  <si>
    <t>After SITC</t>
  </si>
  <si>
    <t>Start Date (PO) : 26-Feb-24 :: End Date (PO) : 25-Jun-29</t>
  </si>
  <si>
    <t xml:space="preserve">shared resource </t>
  </si>
  <si>
    <t>full</t>
  </si>
  <si>
    <t>Design, supply, Erection testing &amp; commissioning of traffic signal at various 28 junction.
Upgradation of old traffic signal at 44 Junction.
Integration with existing system.
5 year comprehensive maintenance service.
Payment 100% after successful installation.</t>
  </si>
  <si>
    <t>We have installed 28 no new signal and 10 old signal upgraded
2. Project Under O &amp; M</t>
  </si>
  <si>
    <t>Invoice measurement sign off document
2. New software testing UCON 12
3. O &amp; M activity</t>
  </si>
  <si>
    <t>17 no UCON controller need to update.
7 no location battery stolen which is under insurance.</t>
  </si>
  <si>
    <t/>
  </si>
  <si>
    <t>Sachin R</t>
  </si>
  <si>
    <t>VADODARA ICCC</t>
  </si>
  <si>
    <t>VADODARA ICCC vadodara</t>
  </si>
  <si>
    <t>Start Date (PO) : 01-Aug-24 :: End Date (PO) : 31-Jul-29</t>
  </si>
  <si>
    <t xml:space="preserve">17 </t>
  </si>
  <si>
    <t>100.99 L</t>
  </si>
  <si>
    <t>O&amp;M support, AMC of all BOQ. Maintenance of Hardware, Network, 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t>
  </si>
  <si>
    <t xml:space="preserve"> 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
1.It is under O &amp; M , currently second year 3 quater in progress
2. we have deployed 17 no manpower
3. New EMS and environment sensor installation
4. RF Tower painting done</t>
  </si>
  <si>
    <t>1.Maintenance activity
2.VMD painting activity
3.SLA maintained as per
4.Invoice process with Client</t>
  </si>
  <si>
    <t>10 no CDT spare material procurement pending since long time.---VMC ATCS
VMD application testing done but controller replacement activity pending. New controller under procurement --- ICCC
17 no of UCON 10 controller we needs to replace. - ICCC
300 faulty module given to OEM for replace material --- VMC-P4 LED
40 no location battery stolen. Insurance under process
DR OEM needs to final – ICCC Project
Around 400 no Battery replacement pending from EATON and HBL side.
Videonetics support not available on project site</t>
  </si>
  <si>
    <t>ISCDL</t>
  </si>
  <si>
    <t>INDORE SMART CITY ISCDL</t>
  </si>
  <si>
    <t>INDORE SMART CITY</t>
  </si>
  <si>
    <t>SITC – 9 M, O&amp;M – 5 Yr</t>
  </si>
  <si>
    <t>Start Date (PO) : 01-Nov-22 :: End Date (PO) : 31-Aug-29</t>
  </si>
  <si>
    <t>5</t>
  </si>
  <si>
    <t xml:space="preserve">43.3 L + Taxes (O&amp;M) </t>
  </si>
  <si>
    <t>Implementation of (ITMS) for 50 Junctions with Centralised Monitoring + 50 additional services
Payment Milestone wise
5% Inception Report, 10% requirement Study, 30% material delivery &amp; commissioning of 1 corridor ( 15 Junctions ) , 30% remaining delivery ( 35 junctions + 20 SVD + 20 ATCC and 10 TVD ) &amp; commissioning, 25% Go Live.
O &amp; M : 5 Years
CAPEX ~20.37 Cr   &amp; OPEX ~ 8.66 Cr</t>
  </si>
  <si>
    <t>1. 11/01 ATCS work completed for new Work. (2 Junctions HDD work completed and expected to be commissioned by 25th Feb 2026)
2. 9/01 ITMS work completed for new work.
3. 3/03 TVDS work completed for new work.
4. 3/0 SVDS work yet to be start.</t>
  </si>
  <si>
    <t>1. BRTS foundation work for 4 junctions.
2. HDD work at 2 Junctions. (1 ATCS, 1 ATCS+ITMS)</t>
  </si>
  <si>
    <t>Delays in delivery of Cable/CDT/Camera for the implementation work.</t>
  </si>
  <si>
    <t>Akash K</t>
  </si>
  <si>
    <t>IREL</t>
  </si>
  <si>
    <t>INDIAN RARE EARTHS LIMITED - IREL</t>
  </si>
  <si>
    <t>SITC –  12 Months , O&amp;M -  4 Yrs</t>
  </si>
  <si>
    <t>Milestonewise</t>
  </si>
  <si>
    <t>Start Date (PO) : 29-Oct-18 :: End Date (PO) : 30-Sep-25</t>
  </si>
  <si>
    <t>21</t>
  </si>
  <si>
    <t>As per Achievement</t>
  </si>
  <si>
    <t>Development of  Integrated ERP System (IITS) (326 L) 
FMS including support &amp; maintenance (147 L)
Cloud Services (574 L)
Change Request (63 K)</t>
  </si>
  <si>
    <t>Website has successfully configured on CSC servers.
Payroll end to end testing completed upto July.
HR regression testing has completed for all modules.
SM and MM bugs fixing 
FA feedbacks analysis is going on.</t>
  </si>
  <si>
    <t>FA costing modules development will be started parallelly.
Website DNS changes will be started.
Payroll KT will be given to tester from SME.</t>
  </si>
  <si>
    <t>Core Java, BIRD tool, postgre, ESDS cloud</t>
  </si>
  <si>
    <t>Customer is not performing transactions as expected.
Old data of material stocks correction for RED is taking more time.</t>
  </si>
  <si>
    <t>Priya R</t>
  </si>
  <si>
    <t>Guwahati SC</t>
  </si>
  <si>
    <t>Guwahati SC Honeywell Automation India Limited</t>
  </si>
  <si>
    <t>East</t>
  </si>
  <si>
    <t>1 Year + O&amp;M</t>
  </si>
  <si>
    <t>10% of capex - Submission of Survey report, built report, project deployment plan.
50% - supply of material on pro-rata basis
15% - installation of material on pro-rata basis
15% - commissioning on pro-rata basis
5% - Go-live on pro-rata basis for individual system
5% - Overall Go-live of complete project.</t>
  </si>
  <si>
    <t>Start Date (PO) : 10-Feb-25 :: End Date (PO) : 09-Feb-26</t>
  </si>
  <si>
    <t>2</t>
  </si>
  <si>
    <t>SITC for --.
1] 20 ECB.
2] 20 PA.
3] 10 ENV SENSOR.
4] 10 VMD.
5] 1 GIS Software.
-- 5 years O&amp;M after Go-live for supplied BOQ.</t>
  </si>
  <si>
    <t xml:space="preserve">1.	EVS: 10/10 Nos. EVS installation done and commissioning done. 
2.	PA: 20/20 Pairs PA installation done. Application installed but not working properly, commissioning &amp; integration with ICCC application not completed.  
3.	VMD: 10/10 Nos. VMD foundation done and Display installed. Application installed but commissioning &amp; integration with ICCC application not completed.  Earth-pit installation work started. Cable laying, connection, configuration and commissioning pending for VMD due to Meter power, UPS power and JB not available and Network also not available from Honeywell end.
4.	ECB: 20/20 Nos. ECB enclosure foundation &amp; installation done, all 20 ECB installation done and power on. Application installed but commissioning &amp; integration with ICCC application not completed.  Have issues in application. Sparsh team working on it. 
5.	GIS application installation and integration done. 
6.	8 No. EVS power on. 2 EVS still Power off due to power not available from HW team. Application and integration done. 
7.	99% billing done. 
</t>
  </si>
  <si>
    <t xml:space="preserve">1.	ECB &amp; EVS, VMD commissioning. 
2.	ECB/PA application rectification and integration.  
</t>
  </si>
  <si>
    <t xml:space="preserve">1.	VMD controller received but sending card not available with controller. The sending card not considered earlier by designed team. Now without sending card VMD controller will not work. It is very critical. We have arranged TB-30 Controller for resolution. But EMS controller going hang condition frequently. Need urgent solution for this. Also, Image or text published from application and services abut not shown on the screen.
2.	Cable laying work for VMD is not yet started. The Bonsai not showing interest to work. Now it is very critical. 
3.	ECB/PA OEM ( Sparsh) not supportive properly. Have hardware issues and Application issues. Sparsh 5 Nos ECB Are found faulty. Need urgent support from them.
</t>
  </si>
  <si>
    <t>Arindam R</t>
  </si>
  <si>
    <t>MCS - L&amp;T</t>
  </si>
  <si>
    <t xml:space="preserve">Mumbai city surveillance larsen and toubro mcs </t>
  </si>
  <si>
    <t>Mumbai City Surveillance</t>
  </si>
  <si>
    <t>3 months</t>
  </si>
  <si>
    <t>Start Date (PO) : 31-Dec-25 :: End Date (PO) : 04-Mar-26</t>
  </si>
  <si>
    <t>224</t>
  </si>
  <si>
    <t>72.86 L</t>
  </si>
  <si>
    <t>Viewing Manpower in 4 shifts including backup to cover 203 shifts daily.</t>
  </si>
  <si>
    <t xml:space="preserve">2 Candidates joined at CP Office and TPHQ.
3 Candidates Documentation process is in progress for Training.
2 Candidates are lined up for interview this week.
Submitted January-2026 month's invoice </t>
  </si>
  <si>
    <t xml:space="preserve">Daily 2 candidates Interview for this week
Follow-up on New Work Order correction for next 3 months
</t>
  </si>
  <si>
    <t xml:space="preserve">CMS HR not submitted PF &amp; ESIC Challans to Customer (L&amp;T)
Recruitment of 20 Candidates. </t>
  </si>
  <si>
    <t>Jaywant P</t>
  </si>
  <si>
    <t>JNPA</t>
  </si>
  <si>
    <t>Jawaharlal Nehru Port Authority JNPA jnpt</t>
  </si>
  <si>
    <t>Jawaharlal Nehru Port Authority</t>
  </si>
  <si>
    <t>EMS</t>
  </si>
  <si>
    <t>6 months + 5 Yr CAMC</t>
  </si>
  <si>
    <t>Product Cost Payable on Product Delivery - 70%
ICT Charges - 30%</t>
  </si>
  <si>
    <t>Start Date (PO) : 07-Apr-25 :: End Date (PO) : 04-Oct-25</t>
  </si>
  <si>
    <t>1</t>
  </si>
  <si>
    <t>131.78 L</t>
  </si>
  <si>
    <t>The Energy Management Software (EMS) Development Project for Jawaharlal Nehru Port Trust (JNPA SEZ) is progressing steadily with major infrastructure and software components completed.
✅ IT Infrastructure &amp; EMS Deployment: Servers installed, EMS/EEMS deployed at NOC, cloud integration completed, and system ready for live operation.
⚠️ Substation &amp; SCADA Integration: IP architecture configured and locally tested; pending fiber cores, network switches, and RailTel connectivity. SCADA communication established, with commercial dependency on GE data sharing.
⚠️ Electrical Metering (ABT &amp; Billing): ABT meters installed but awaiting formal approval and CT core utilization confirmation. Billing meter communication established for one meter; remaining modem installations in progress.
⚠️ RMU Panel Communication: Survey completed; communication pending due to OFC network readiness and scope confirmation.
⚠️ Water Metering: 62 meters delivered; 6 installed and tested. Remaining installations depend on site readiness and confirmations from the Water Department.</t>
  </si>
  <si>
    <t>Finalizing the bills generated for electricity meters and planning for water and electricity meter modem installation</t>
  </si>
  <si>
    <t>PostgreSQL, DLMS, MODBUS, GPRS, Python, DotNet MVC</t>
  </si>
  <si>
    <t>Network Dependency: Pending OFC fiber cores, network switches, and RailTel connectivity delaying full substation and RMU integration.
SCADA Data Sharing Constraint: Data transfer from GE SCADA to CMS is chargeable, requiring commercial clarity or alternate network planning.
Approval Dependency: Formal approval awaited for CT core utilization for ABT meter integration.
Field Readiness Issues: Valve readiness, ducting, power availability, and location finalization pending for large-size water meters (80 mm, 100 mm, 400 mm).
Interdepartmental Coordination: Dependency on JNPA Water Department and network vendor may impact timelines.</t>
  </si>
  <si>
    <t>Brayan F</t>
  </si>
  <si>
    <t>DIC ROB</t>
  </si>
  <si>
    <t>DIGITAL INDIA CORP -PRD RAILWAY &amp; ROB GIRDER INSPECTION PORTAL DIGITAL INDIA CORP -PRD RAILWAY &amp; ROB GIRDER INSPECTION PORTAL  DIC ROB</t>
  </si>
  <si>
    <t>DIGITAL INDIA CORP - PRD RAILWAY &amp; ROB GIRDER INSPECTION PORTAL</t>
  </si>
  <si>
    <t>4 months + O&amp;M</t>
  </si>
  <si>
    <t>Track 1 - 10%, Track 2 – 20%, Track 3 – 20%, 8m – 50%</t>
  </si>
  <si>
    <t>Start Date (PO) : 09-Jun-25 :: End Date (PO) : 08-Oct-25</t>
  </si>
  <si>
    <t>12</t>
  </si>
  <si>
    <t>As per achievment.</t>
  </si>
  <si>
    <t>Developing and Maintaining a state-of-the-art Application to used for handling the process related to constructing a railway girder over the roads/highways including various stages of requests, inspection and approval process involving different stakeholders/users.
Need to automate &amp; manage the process through web-based portal which is currently handled manually/paper-based.
In Phase -1, The process related to Quality Assurance Plan (QAP) and  Welding Procedure Specification Sheet (WPSS) will be automated.
In Phase-2, rest of the processes to be automated.
Payment Phase &amp; milestone wise
Track 1 - 10%, Track 2 – 20%, Track 3 – 20%, Track 4 – 50%
Deployment of proposed resources for total 80 Man-months.</t>
  </si>
  <si>
    <t>Project Status Summary
✅ Completed
Overall Second Phase Development – Completed
Internal Security Audit Implementation – Completed
Third Party Security Implemented – Completed (Waiting for certificate)
Third Phase Tasks Analysis – Completed
Register activation post QAP approval – Completed
WPSS Forms conditional logic – Completed
QAP Part B not editable for Standard Girder – Completed
Standard Case: QAP Part B restricted from moving to RDSO after CBE – Completed
🔄 Work in Progress
RDSO Certificate in Hindi
Role &amp; Designation Menu Mapping
Seek Clarification Workflow
Preview &amp; Save Functionality
Step Loading / Staging Flow
Approval History Tracking
Third Phase Task Summary –
 Functional Enhancements &amp; System Improvements
1️⃣ Reports &amp; Dashboard Enhancements
Reports generation for Admin and Users
Clickable Dashboard with Delayed &amp; Progress Status
Dashboard Notifications
My Project listing with color-based status indicators
2️⃣ Inspection &amp; Register Module Improvements
Multiple Inspection Request form corrections
Enable multiple Raw Material Inspection Requests
Register activation post QAP approval
Register submission optional for Fabricator (fill or skip)
GST form upload/download in Inspection form
Search button for Registers
Span/Girder selection for Inspector
3️⃣ QAP &amp; WPSS Enhancements
WPSS Forms conditional logic implementation
Workshop selection for QAP/WPSS approval with Dy CE
QAP Part B editable based on comment type (Fabricator, CBE, RDSO)
Restrict QAP Part B edit for Standard Girder
Prevent QAP Part B movement to RDSO in Standard case
QAP &amp; WPSS approval certificate generation
Watermark on QAP after approval (“Approved by RDSO / Inspection Agency”)
4️⃣ GAD Module Improvements
Parent–Child GAD data addition (multiple girders under one GAD ID)
Allow editing of added GAD data
Multiple Contractor &amp; Workshop selection per GAD
Multiple GAD entries under one GAD No.
RRCAS ID auto-population from CRIS API
Girder cost entry restricted to Railway Junior Officer / Executing Agency
5️⃣ Inventory &amp; Fabricator Enhancements
Inventory update at Fabricator end
Reflect inventory details during Agency selection
Log module for edit functionality tracking
Heat No. &amp; Plate No. validation
Traceability implementation
6️⃣ Approval Flow &amp; Role Management
RDSO approval flow (both cases)
Role-based menu mapping
Approval history tracking
Action button visibility in rows
Seek clarification workflow
Preview &amp; Save functionality
Staging/Step loading improvements
7️⃣ UI &amp; Usability Improvements
Tooltips for all forms
Additional text field inclusion
Action button display improvements
8️⃣ Mobility &amp; Real-Time Monitoring
Mobile App for Inspector
Real-time monitoring of trial assembly
Geo-tagging for Inspector &amp; Fabricator</t>
  </si>
  <si>
    <t>RDSO Certificate in Hindi
Role &amp; Designation Menu Mapping
Seek Clarification Workflow
Preview &amp; Save Functionality
Step Loading / Staging Flow
Approval History Tracking</t>
  </si>
  <si>
    <t>JAVA 20, Springboot, PostgreSql, React, AWS Cloud, Microservices, Postman, Apache Tomcat webserver, SSL, Oauth, AWS ECS</t>
  </si>
  <si>
    <t>The Third Phase task requirements were received at a later stage of development.
These requirements involve complex logical changes within the application, including workflow modifications, approval flow restructuring, conditional validations, and role-based behavior adjustments.</t>
  </si>
  <si>
    <t>DIC NOC</t>
  </si>
  <si>
    <t>DIGITAL INDIA CORP - NOC</t>
  </si>
  <si>
    <t>9 months + O&amp;M</t>
  </si>
  <si>
    <t>Start Date (PO) : 03-Jul-25 :: End Date (PO) : 02-Jan-27</t>
  </si>
  <si>
    <t>13</t>
  </si>
  <si>
    <t>Development, deployment, and support of NOC Portal with modules for Login, User Registration, Application Submission, and Approval workflows.
Implementation of Registration &amp; Validation including Mobile OTP, GST validation, Aadhaar integration, and User Authorization.
Enable Application Submission with GIS data pickup, document upload, affidavit submission, e-sign, payment gateway, and Q&amp;A module.
Workflow automation for Right of Way (ROW) applications with end-to-end submission tracking.</t>
  </si>
  <si>
    <t xml:space="preserve">Working on code deployment on Production Server and other setup like GIS, SMS  </t>
  </si>
  <si>
    <t>Go Live of first phase on 23rd Feb</t>
  </si>
  <si>
    <t>Pradeep N</t>
  </si>
  <si>
    <t>NeGD ITPO</t>
  </si>
  <si>
    <t>NATIONAL E-GOVERNANCE DIV - ITPO BHARAT MANDAPAM NATIONAL E-GOVERNANCE DIV - ITPO BHARAT MANDAPAM NeGD ITPO</t>
  </si>
  <si>
    <t>NATIONAL E-GOVERNANCE DIVISION - ITPO BHARAT MANDAPAM</t>
  </si>
  <si>
    <t>2 Years &amp; extendable for 1 yr</t>
  </si>
  <si>
    <t>Start Date (PO) : 25-Aug-25 :: End Date (PO) : 24-Aug-27</t>
  </si>
  <si>
    <t>14</t>
  </si>
  <si>
    <t>21.25 L</t>
  </si>
  <si>
    <t>Hiring of 14 Professionals to --
Handle the software project development, support &amp; rollout services of DIC-NeGD projects.
Primarily the services would range from core project development, implementation to management support in carrying out regular operational activities on a day-to-day basis
– For 24 months extendable upto 1 Yr.
Front End and Back End developer – 8 Resources (Including 1 senior developer each)
Mobile App Developer – 2 resources
Quality Analyst, DevOps, Project Manager cum Business Analyst, Data Entry Analyst (Platform Management) - 1 resource each</t>
  </si>
  <si>
    <t>BMCC Updates:
- Organizer-wise booking highlights have been added to the availability calendar. Deployed to production on 17-02-2026.
- Admin portal fixes and disclaimer updates have been completed and moved to production on 17-02-2026.
- GST verification bypass has been implemented with an automated daily cron job and retry mechanism.
- Occupancy report has been enhanced with date filters and download functionality. Deployed to production on 17-02-2026.
Aahar-26 Updates:
- Add-on services (Electricity, Water, Exhibitor Badges) have been configured and moved to production on 17-02-2026.
- Sponsorship module updated with single-flow payment, revised pricing, receipt and report enhancements, along with successful production UAT. Deployed on 17-02-2026.
- Digitization of multiple halls and booth layouts (FF, GF, Open Areas) with stall category and booking eligibility configuration completed. Deployed on 13-02-2026.
- Payment-wise and area-wise reports have been generated and shared with ITPO.
Mobile Application Updates:
- Enhancements completed for India AI Impact Summit, including hall layout screens, stall listing updates, event card UI fixes, and layout verification.
- “Unexpected Error Occurred” popup issue has been addressed; partially resolved and currently under observation. Changes deployed on 17-02-2026.
- Android Mobile App VAPT issues have been resolved in production and shared with ITPO for reassessment.
Attendance Module:
- Enhancements implemented with 15-minute and 60-minute relaxation logic. Production UAT successfully completed.</t>
  </si>
  <si>
    <t>- VAPT issues fixes of the iOS Mobile App. 
- VAPT issues fixes of the Booking portal
- Alert Module 
- Hall Service addition from Admin panel
- Website UI enhancement</t>
  </si>
  <si>
    <t>- Backend: Node.js (Java script- Nest.Js Framework)
- Frontend: Angular
- DB: MySQL</t>
  </si>
  <si>
    <t>BMCC booking data matching 
Frontend &amp; Backend resource unavailability</t>
  </si>
  <si>
    <t>Raghavendra P</t>
  </si>
  <si>
    <t>MMRDA BTRS</t>
  </si>
  <si>
    <t>MMRDA - BALASAHEB THAKRE RASHTRIYA SMARAK MMRDA - BALASAHEB THAKRE RASHTRIYA SMARAK MMRDA BTRS</t>
  </si>
  <si>
    <t>MMRDA - BALASAHEB THAKRE RASHTRIYA SMARAK</t>
  </si>
  <si>
    <t>18 months</t>
  </si>
  <si>
    <t>Start Date (PO) : Yet to log Order :: End Date (PO) : .</t>
  </si>
  <si>
    <t>0 L</t>
  </si>
  <si>
    <t>EPC  providing immersive experience in Gallery and Museum design with fit out and SITC of end-to-end solutions of technologies including existing systems, MEPF and O&amp;M for 1 Year
CMS Scope ( As Partner to EPC Contractor) 
SITC  of BLE5 MESH NETWORK VISITOR MANGEMENT
SITC  of ICCC PLATFORM WITH LIDAR AND BI TOOLS
SITC  of VIDEO WALL &amp; ASSOCIATED CONTROLLERS, CABLES &amp; ACCESSORIES
SITC  of COMMAND &amp; CONTROL ROOM INCLUDING CIVIL, INTERIORS, MEP SERVICES
SITC  of NETWORK, SECURITY MONITORING AND MANAGEMENT
SITC  of  SERVERS , DESKTOPS AND ASSOCIATED INFRASTRUCTURE</t>
  </si>
  <si>
    <t>We have still  not received the order and SO is not generated, as per sales - Mr. Parag the final signature is awaited from customer side.</t>
  </si>
  <si>
    <t>Once the Order is generated in our system we will ask Purchase to start taking the quotes and do negotiations along with Meeting with All identified vendors as per scope at site.</t>
  </si>
  <si>
    <t>Crisp delivery timeliness and multiple vendors to deliver the entire solution makes it complex and timely follow-up and push is needed.</t>
  </si>
  <si>
    <t>Vinod S</t>
  </si>
  <si>
    <t>EWDS O&amp;M</t>
  </si>
  <si>
    <t>National Cyclone Risk Mitigation</t>
  </si>
  <si>
    <t>National Cyclone Risk Mitigation (EWDS) O&amp;M</t>
  </si>
  <si>
    <t>2 Years (O&amp;M)</t>
  </si>
  <si>
    <t>Start Date (PO) : 25-Feb-21 :: End Date (PO) : 27-Feb-28</t>
  </si>
  <si>
    <t>O&amp;M – 618 L (1st Year 237 L &amp; 2nd Year 381 L)</t>
  </si>
  <si>
    <t>• Supply, Installation, Testing, Commissioning with O&amp;M for Statewide Early Warning Dissemination System (EWDS) for Kerala State
• Implementation at SEOC- 80 KVA UPS, Smart rack with Enterprise devices -servers, storage, switches, routers, firewall and the entire application stack. (ICCC-Trinity/EPW-Everbridge/NMS- Motadata /Contact center- Genesys).
• Implementation at EOC locations across 14 DEOC, 77 TEOC, 14 Fire Stations, 20 Matsya Bhavan and Police Head Quarter( 126 locations).</t>
  </si>
  <si>
    <t>All the implementation payment has been collected.
Currently project is on O&amp;M phase and running the Second year.
O&amp;M start Date- 01-04-2024
O&amp;M End Date- 31-03-2026
First year O&amp;M payment has been collected.
Per battery purchase cost of Rs. 9550 and asked us to deliver 200 count batteries immediately. Balance they will have requirement of 3000 batteries. 200 immediate batteries order received and remaining 2800 batteries financial approval is in progress.
Wayanad 5 new Siren requirement. Approved cost is 4 Cr and its under process for financial approval.
O&amp;M quarter 2 bills submitted with an amount of 1.13Cr and its under process. TSG conducted and payment process is in progress
Commercial submitted of Alappey 5 new Siren requirement with a value of 3.15Cr. TSG conducted and it is asked the given quote is very high and needs to rework on this. We are taking a commercial concurrence on this.</t>
  </si>
  <si>
    <t>Collection for the first and second quarter invoices. TSG conducted and payment process is in progress.
Work Order for UPS battery purchase
Follow up for Wayanad 5 new Siren project order. TSG has been approved the amount of 4Cr and file is under Disaster Management Department for further financial approvals.
Commercial submission for Air Ride Siren proposal.
Collection of Laptop batteries delivered payment-58K.</t>
  </si>
  <si>
    <t>-</t>
  </si>
  <si>
    <t>Siren spare to be purchased. Currently 12 numbers Siren units are nonfunctional due to Siren board, Amplifier and DC unit issues. Request has been raised with purchase team to negotiate with vendor and place the purchase order.
Dell Servers and Storage AMC renewal.
Frequent camera issues due to water leakage. This to be negotiate with vendor and rectification should be on free of cost.
Fine tuning of Citizen portal
Replacement for the Trinity Application-KSDMA has repeatedly expressed concerns in our previous meetings regarding the Trinity application. They are not satisfied with its usability, as it is not user-friendly and requires multiple logins to complete the workflow. During our CEO visit 17th November 2025 , discussed this concern.</t>
  </si>
  <si>
    <t>Sreejith V</t>
  </si>
  <si>
    <t>Bhagalpur O&amp;M</t>
  </si>
  <si>
    <t>Bhagalpur Smart City O&amp;M (Shapoorji Pallonji)</t>
  </si>
  <si>
    <t>5 Years</t>
  </si>
  <si>
    <t>Start Date (PO) : 06-Nov-23 :: End Date (PO) : 05-Nov-28</t>
  </si>
  <si>
    <t>4</t>
  </si>
  <si>
    <t>18.04 L</t>
  </si>
  <si>
    <t xml:space="preserve">5Years O&amp;M for 
•	ERP Solutions
•	16 Nos ATCS junctions
•	20 Nos ECB
•	25 Nos PA
•	15 Nos VMD
•	60 Nos GPS
•	ICCC Software 
-- with ITMS expert and field expert.  </t>
  </si>
  <si>
    <t xml:space="preserve">•	 ATCS, ECB, PA, VMD, GPS and VDC maintenance work going on.
•	1. Quarterly PM report submitting as per the BSCL and SPCL requirement.
•	2. ERP solutions developing work still going on. As per the BSCL and MD instructions almost all modules development done. Some development parts still pending. Request for services module not yet done.
•	3. Trade license, building plans, Property Tax, Grievances, Web Portal modules handed over to Nagar Nigam.
•	4. GPS iTraiangel not given proper support to close the Data issues and rectification of the reports. Need to close the issues immediately. Management intervenes required.
</t>
  </si>
  <si>
    <t xml:space="preserve">1.	ERP completion.
2.	SWM issue resolution.
</t>
  </si>
  <si>
    <t xml:space="preserve">1.	SoftTech has stopped providing support for the Request for Services module and has put its development on hold due to financial constraints. Immediate management support is requested to resume the development.
2. Bhagalpur Site Power Issues:Bhagalpur site is facing severe power fluctuation problems. UPS back-up is not available from SPCL, resulting in damage to several Traffic Controller and VMD Controller cards due to over-voltage. Proper earthing is also missing, and the HT overhead line is dangerously close to the poles.Solutions: We are currently creating earthing pits for the Traffic Controllers and poles and are planning to use AVS and surge protectors to prevent further damage.
3. ECB Card Compatibility: The new ECB cards are not matching with the existing system. The issue needs to be checked and closed at the earliest.
4. Ucon-Stacks are required very urgently. - 4 Nos. UCon Stacks immediate required. 
5. MD/ Municipal commissioner of Bhagalpur instructed that all property tax challan must be generated from CMS website from 06/02/2026 onwards, SoftTech uploaded all 70K property tax data in the System. 
</t>
  </si>
  <si>
    <t>Muzaffarpur O&amp;M</t>
  </si>
  <si>
    <t>Muzaffarpur Smart City O&amp;M (Shapoorji Pallonji)</t>
  </si>
  <si>
    <t>Start Date (PO) : 25-May-23 :: End Date (PO) : 24-May-28</t>
  </si>
  <si>
    <t>17.63 L</t>
  </si>
  <si>
    <t xml:space="preserve">5Years O&amp;M for 
•	ERP Solutions
•	31 Nos ATCS Junctions
•	31 Nos ECB
•	10 Nos PA
•	31 Nos VMD
•	ICCC Software
--- with ITMS expert and filed expert.  </t>
  </si>
  <si>
    <t xml:space="preserve">1] ATCS, ECB, PA, VMD maintenance work is going on.
2] ERP O&amp;M also going on.
3] ERP new module, modification work is going on.
</t>
  </si>
  <si>
    <t xml:space="preserve">1] ERP issues closing plan.
2] Maintenance work.
</t>
  </si>
  <si>
    <t xml:space="preserve">SoftTech is not providing adequate support for ERP modifications. Immediate management intervention is required to resolve this issue.
ECB Board Issue. 
</t>
  </si>
  <si>
    <t>DVC O&amp;M</t>
  </si>
  <si>
    <t>Damodar Valley Corporation</t>
  </si>
  <si>
    <t>Damodar Valley Corporation O&amp;M</t>
  </si>
  <si>
    <t>Start Date (PO) : 01-Feb-24 :: End Date (PO) : 31-Jan-29</t>
  </si>
  <si>
    <t>14.2 L Quarterly (AMC- 7.2 L/Qtr, Data Collection- 7 L/Qtr) &amp;  Audit- 3.2 L/Yr</t>
  </si>
  <si>
    <t xml:space="preserve">•	5 Years O&amp;M support including 24X7 DC support and with proper adequate manpower support in field for 48 Substations and Power plants. 
•	Any Changes in S/w, reports, screen without extra cost as per PO and need to be added other OEM meters in the same T&amp;C. </t>
  </si>
  <si>
    <t xml:space="preserve">1.	8 Qtr. O&amp;M support done and 7 Qtr. billing done.
2.	Out of 7 Qtr.,7 Qtr. Payment received.
3.	Meter rectification work going on at the substations.
4.	CERTIN Audit partially done. Pending for Lease line not available from DVC end and they are arranging.
</t>
  </si>
  <si>
    <t xml:space="preserve">CERTIN audit completion.
Meter rectification
</t>
  </si>
  <si>
    <t xml:space="preserve">2–3 blocks (out of 96) are missing on a daily basis because we are required to restart the meters twice a day.
DVC is extracting raw data from our server through API for their internal services. We need to continue providing necessary API/service support as per the PO terms and conditions.
Approx 50 Nos. EDMI Meter found faulty. Bar Code showing and block data missing.
Out of 706 EDMI meters, 50 units are frequently found faulty. These need to be either repaired by EDMI or replaced (by EDMI or another make). It is becoming very difficult to maintain service levels without LD implications. Immediate management support is required.
Around 60 out of the remaining 644 meters are facing TTL card issues. Our team is continuously replacing TTL cards to keep the system functional.
</t>
  </si>
  <si>
    <t>Daman SC</t>
  </si>
  <si>
    <t>Daman Smart City</t>
  </si>
  <si>
    <t>1.Construction of Foundation and Installation of Straight Pole and Cantilever Pole work done at Rajiv Gandhi Junction
2. Ducting and Cable Laying work done at Rajiv Gandhi Junction
3. Installation of Aspects on straight pole and cantilever pole done at Rajiv Gandhi Junction
4.Ducting work done at Dholar junction
5.Construction of foundation for straight pole and cantilever pole work done
6.Teenbatti Junction ducting Work done
7.Dhobi Talav Junction ducting work done</t>
  </si>
  <si>
    <t>1.Ducting work in progress at three junction
2. Need Straight Pole and Cantilever pole for installation work at Dholar Junction</t>
  </si>
  <si>
    <t xml:space="preserve">Straight pole and cantilever pole
1.Need Delivery Date for Straight pole and Cantilever Pole from M/s Transrail for Installation at Dholar Junction because foundation work has been completed
Supply and Installation of Solar Panel Unit all Accessories With Pale
2. PR Enterprise is supporting for the Supply and Installation of Battery, Inverter with pole and foundation need to find out the other vendor, once we received Rajiv Gandhi Junction Solar Panel work will be completed
</t>
  </si>
  <si>
    <t>Rahul Pol</t>
  </si>
  <si>
    <t>NIRBHAYA VMD</t>
  </si>
  <si>
    <t>Nirbhaya VMD</t>
  </si>
  <si>
    <t>•	Nirbhaya Safe City - Variable Messaging Displays (Digital Billboards) for Commissioner of Police – Mumbai 
•	2 VMD’s to be installed in MMP Region .</t>
  </si>
  <si>
    <t>1st Location : Final permission still awaited, expected to receive in next week.
2nd Location : Permission is in progress.
Post the first site permission is received will process server purchase order.</t>
  </si>
  <si>
    <t>Permission confirmation for 1st site, processing the 2nd site permission submitting block diagram for second site. placing Server order. 
Assigning work to Contractor.</t>
  </si>
  <si>
    <t>Permission may further delay.</t>
  </si>
  <si>
    <t>Vinod S / Anil H</t>
  </si>
  <si>
    <t>IFSCA</t>
  </si>
  <si>
    <t>International Financial Services Centres Authority (IFSCA) International Financial Services Centres Authority (IFSCA)</t>
  </si>
  <si>
    <t>International Financial Services Centres Authority (IFSCA)</t>
  </si>
  <si>
    <t>6 Yrs (1Yr Proj + 3 month stabilization + 9 month Warr + 4 Yr AMC)</t>
  </si>
  <si>
    <t>-&gt; 3 Month - Requirement (5%);
-&gt; 4 month - Documentation - BRD, FRS, SRS (5%);
-&gt; 12 month - Development &amp; integration (5%); Data Migration (5%); Deployment (5%); Testing - SIT &amp; UAT (5%); Implementation (5%); Training (5%); Go-Live (5%);
-&gt; 24 month - Stabilization &amp; Warr (5%);
-&gt; 72 month - Support &amp; Maintenance - 16 Qtr (50%)</t>
  </si>
  <si>
    <t>Start Date (PO) : 13-Nov-25 :: End Date (PO) : 12-Nov-31</t>
  </si>
  <si>
    <t>10</t>
  </si>
  <si>
    <t>As per achievement : First milestone is 82 L</t>
  </si>
  <si>
    <t>Design, development, testing, deployment &amp; maintenance of integrated ERP covering:
• HRMS
• Payroll
• Finance &amp; Accounts
• Admin
• Mobile App
• Integration with existing systems (Biometric, e-Office, NIC Infra)
• Hosting on NIC/MeghRaj 2.0 cloud
• Security Audits (CERT-IN, VAPT)
• 9-Month Warranty + 4-Year AMC Support
• Onsite manpower (5 during implementation, 9 during AMC)
• Compliance with RFP, Corrigendum &amp; NIC guidelines</t>
  </si>
  <si>
    <t xml:space="preserve">RFP understanding discussions have been completed with business users for all listed modules.
FRS documentation is completed for HRMS and Finance &amp; Accounting.
IT &amp; Admin FRS is currently under progress.
Finance &amp; Accounting module development is completed.
HRMS and IT &amp; Admin modules are currently in progress.
1️⃣ HRMS – Sub-Modules Status
✅ Fully Completed (FRS Done – Awaiting Business Closure)
Employee Onboarding
Leave
Training
Bonafide
Office Order
Seniority List Report
Attendance
Remark: Feedback received; awaiting business user confirmation to close input points.
</t>
  </si>
  <si>
    <t xml:space="preserve">Tour (Feedback incorporation ongoing)
Administrative Work (Feedback incorporation ongoing)
Appraisal (Wireframe &amp; FRS in progress)
Payroll (FRS in progress)
Employee Self Service (ESS) (Wireframe &amp; FRS in progress)
</t>
  </si>
  <si>
    <t>Spring Boot, Odoo, React JS, Apache, PostgreSQL, Postman, Moodle, Figma, Ubuntu, NIC Cloud, Flutter, Node JS</t>
  </si>
  <si>
    <t>Majority of HRMS and Finance modules are completed and pending business signoff.
Admin module largely implemented, with selected modules integrated via Odoo and GLPI.
Remaining effort focused on feedback incorporation, FRS completion, and formal signoffs.</t>
  </si>
  <si>
    <t>Vinod S / TBH</t>
  </si>
  <si>
    <t>IVFRT</t>
  </si>
  <si>
    <t>IMMIGRATION VISA FOREIGNER REGISTRATION TRACKING IVFRT IMMIGRATION VISA FOREIGNER REGISTRATION TRACKING IVFRT IMMIGRATION VISA FOREIGNER REGISTRATION TRACKING IVFRT</t>
  </si>
  <si>
    <t>IMMIGRATION VISA FOREIGNER REGISTRATION TRACKING -- IVFRT</t>
  </si>
  <si>
    <t>FMS</t>
  </si>
  <si>
    <t>Start Date (PO) : 20-Jun-24 :: End Date (PO) : 19-Jun-27</t>
  </si>
  <si>
    <t>22.47 L</t>
  </si>
  <si>
    <t>•24x7 Security &amp; Network Operations for Immigration Check Posts.
•SOC Tasks: Log aggregation, event correlation, threat detection, Incident alerting, response, and reporting, Use of SIEM tools and global threat intelligence.
•NOC Tasks: Networkuptime, firewall &amp; IPS management, Monitoring via Micro focus tools ( NNMi, OBM, Site Scope, etc.),Asset lifecycle and compliance tracking.
•Resources : L1 Analyst : 5(SOC) + 5(NOC), L2 Engineer : 3(SOC) + 3(NOC), SOC/NOC Manager : 1, Administrator : 1
•18 resources in rotational shifts &amp; Dual-role staff for both SOC &amp; NOC.
•SLAs: Alerts: 30–60 Minsbased on priority, Incident response: 60–120 Mins, Root cause reports: 72–120 hours.
•Penalties: For delayed deployment, absence, or unqualified staff.</t>
  </si>
  <si>
    <t>VIJAY M</t>
  </si>
  <si>
    <t>Bhavnagar Municipal Corporation</t>
  </si>
  <si>
    <t>Bhavnagar Munciple Corporation Bhavnagar Munciple Corporation Bhavnagar Munciple Corporation</t>
  </si>
  <si>
    <t>Bhavnagar Munciple Corporation</t>
  </si>
  <si>
    <t>4 months + O&amp;M 5 Yr</t>
  </si>
  <si>
    <t>80% Capex on SITC
20% Capex after system stabilization (post Go-Live 2 months)
5% of CAMC amount/Qtr for 20 Qtrs.</t>
  </si>
  <si>
    <t>Start Date (PO) : 15-Jan-26 :: End Date (PO) : 14-May-26</t>
  </si>
  <si>
    <t>514 L (411 L ~80%)</t>
  </si>
  <si>
    <t>Supply, Installation, Testing &amp; commissioning (SITC) of 
•Outdoor Digital Display - 15 Nos. with all accessories
•PAS System - 15 Nos. with all accessories
•Content Management System - 1 Nos.
•System Stabilization of 2 months post Go-Live.
•5 Years CAMC of installed solution</t>
  </si>
  <si>
    <t>Site survey done on 6-02-2026 and 07-02-2026,16-02-2026
2. Project Kick of meeting done on 12-02-2026
3. Contract agreement and PBG submitted 
4. Project plan, survey report, structura drawing submission done for approval
5.Materail procurements under process</t>
  </si>
  <si>
    <t>1.Contract agreement and PBG submission
2. Project plan, survey report, structura drawing submission done for approval follow up
3.Material Procurement follow up
4. Follow with HR to final manpower deployment</t>
  </si>
  <si>
    <t>1.Manpower deployment
2. LED and Pole structure vendor finalization
3. Warehouse not final by OEG team.
4.Matreail and service PO follow up with purchase</t>
  </si>
  <si>
    <t>KDMC 3 New Traffic signals</t>
  </si>
  <si>
    <t>KDMC 3 New Traffic signals KDMC 3 New Traffic signals KDMC 3 New Traffic signals</t>
  </si>
  <si>
    <t>Kalyan Dombivali Muncipal Corporation - 3 New Traffic signals</t>
  </si>
  <si>
    <t>6 months + O&amp;M 5 Yr</t>
  </si>
  <si>
    <t>Start Date (PO) : 15-Dec-25 :: End Date (PO) : 14-Jun-26</t>
  </si>
  <si>
    <t>Supply, Installation, Testing &amp; commissioning (SITC) of Traffic signals with accessories at
•Mangal Road 100 feet chowk
•SK Patil chowk
•Kopar Bridge chowk
-&gt;5 Years CAMC of installed solution</t>
  </si>
  <si>
    <t>We have submitted hardware &amp; components data sheets and compliance to customer for validation and approval, expecting to receive the same in early next week.
We have raised the PR for all components except Cables and UPS and have asked purchase to take the procurement on priority.</t>
  </si>
  <si>
    <t>We will carry site survey along with KDMC officials &amp; Traffic Police and take their consent on the plan before starting the deployment, post this survey KDMC officials will issue us a letter to start the work on site.
Have already asked Purchase to finalize the vendor for onsite work.</t>
  </si>
  <si>
    <t>We may need a Store room at Dombivli to keep our material during Project phase.</t>
  </si>
  <si>
    <t>NLC GHATAMPUR</t>
  </si>
  <si>
    <t>NLC GHATAMPUR NLC GHATAMPUR NLC GHATAMPUR Neyveli Uttarpradesh Power Limited Neyveli Uttarpradesh Power Limited</t>
  </si>
  <si>
    <t>Neyveli Uttarpradesh Power Limited -- GHATAMPUR</t>
  </si>
  <si>
    <t>6 months + 3 months (Defect liability period)</t>
  </si>
  <si>
    <t>Start Date (PO) : 22-Jan-26 :: End Date (PO) : 21-Jun-26</t>
  </si>
  <si>
    <t>0</t>
  </si>
  <si>
    <t>Integration of 24 Nos ABT Meters and AGC Signals into the existing ABT Monitoring System at NLC Ghatampur which includes
1. Supply and installation of Gridlogik Software Logger (for both DLMS mode &amp; Modbus mode) in the existing ABT Server. 
2. Supply and upgradation of Windows Server OS 2025 with lifetime license in the existing ABT Server. 
3. Configuration of Converter and Switches necessary for integration of 24Nos Secure APEX 150 ABT Meter in the existing ABT Server. 
4. Integration of 4-20mA to Mobus Converter to the existing ABT Server for taking Delta P signal of 3 Units from the AGC Panel. 
5. Preparation of reports &amp; HMI as per the latest DSM regulations.</t>
  </si>
  <si>
    <t>the project activity is yet to be started from CMS side as the hardware is pending from client end.</t>
  </si>
  <si>
    <t>NADIAD MUNICIPAL CORPORATION</t>
  </si>
  <si>
    <t xml:space="preserve">NADIAD MUNICIPAL CORPORATION NADIAD MUNICIPAL CORPORATION NADIAD MUNICIPAL CORPORATION </t>
  </si>
  <si>
    <t>12 months + O&amp;M 5 Yr</t>
  </si>
  <si>
    <t>Start Date (PO) : 29-Jan-26 :: End Date (PO) : 28-Jan-32</t>
  </si>
  <si>
    <t xml:space="preserve">One project Cordinator and 2 no Field staff </t>
  </si>
  <si>
    <t>SITC of ATCS Based Traffic Signal at junctions under Nadiad Municipal Corporation:
1. 5 Junctions - Santram Mandir,  B/H Mahanagarpalika, Kamla Chokdi, Ganpati Mandir Char Rasta &amp;  Santana Chokdi.
2. Upgradation of 1 existing junction.
3. ATCS Software
4. Application Server With Database For ATCS Software
5. 60 Months O&amp;M</t>
  </si>
  <si>
    <t xml:space="preserve">6 nos locations survey done 
Material Procurement under process 
Make - Model submission pending </t>
  </si>
  <si>
    <t xml:space="preserve">Contract agreement
PBG submission
Make model approval 
Location Finalization </t>
  </si>
  <si>
    <t xml:space="preserve">Location approval from Client
</t>
  </si>
  <si>
    <t>Design, Supply, Installation, Testing and Commissioning of web based enterprise energy and utility Management system with five years of Comprehensive Annual Maintenance Contract (CAMC)
a) Complete built in energy monitoring system including power distribution monitoring of electrical &amp; utility energy &amp; consumption monitoring viz boundary level, process level and specific identified key areas.
b) Demand management system that covers demand forecasting, scheduling and deviation monitoring w.r.t the schedule drawl
c) Energy billing system that coverers consumer’s energy monitoring and billing
-&gt;&gt;Functional Requirements/ Deliverables :  DATA ACQUISITION SYSTEM // DATA MANAGEMENT SYSTEM // DEMAND FORECASTING MODULE // Deviation Settlement Mechanism Module //Demand Management Module // Utility Billing Module – Electricity, Water &amp; Rental
-&gt;&gt;Infrastructure Requirements: Server // Cloud Service (IaaS) // OS // DB // Networking</t>
  </si>
  <si>
    <t>-&gt;N/A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</si>
</sst>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4" formatCode="_(&quot;₹&quot;* #,##0.00_);_(&quot;₹&quot;* \(#,##0.00\);_(&quot;₹&quot;* &quot;-&quot;??_);_(@_)"/>
    <numFmt numFmtId="164" formatCode="_ &quot;₹&quot;\ * #,##0_ ;_ &quot;₹&quot;\ * \-#,##0_ ;_ &quot;₹&quot;\ * &quot;-&quot;??_ ;_ @_ "/>
    <numFmt numFmtId="165" formatCode="[$-409]dd/mmm/yy;@"/>
  </numFmts>
  <fonts count="5" x14ac:knownFonts="1">
    <font>
      <sz val="11"/>
      <color theme="1"/>
      <name val="Aptos Narrow"/>
      <family val="2"/>
      <scheme val="minor"/>
    </font>
    <font>
      <sz val="11"/>
      <color theme="1"/>
      <name val="Aptos Narrow"/>
      <family val="2"/>
      <scheme val="minor"/>
    </font>
    <font>
      <b/>
      <sz val="11"/>
      <color theme="0"/>
      <name val="Aptos Narrow"/>
      <family val="2"/>
      <scheme val="minor"/>
    </font>
    <font>
      <u/>
      <sz val="11"/>
      <color theme="10"/>
      <name val="Aptos Narrow"/>
      <family val="2"/>
      <scheme val="minor"/>
    </font>
    <font>
      <sz val="11"/>
      <color rgb="FF000000"/>
      <name val="Aptos Narrow"/>
      <family val="2"/>
    </font>
  </fonts>
  <fills count="3">
    <fill>
      <patternFill patternType="none"/>
    </fill>
    <fill>
      <patternFill patternType="gray125"/>
    </fill>
    <fill>
      <patternFill patternType="solid">
        <fgColor theme="6"/>
        <bgColor theme="6"/>
      </patternFill>
    </fill>
  </fills>
  <borders count="7">
    <border>
      <left/>
      <right/>
      <top/>
      <bottom/>
      <diagonal/>
    </border>
    <border>
      <left style="thin">
        <color theme="6"/>
      </left>
      <right/>
      <top style="thin">
        <color theme="6"/>
      </top>
      <bottom/>
      <diagonal/>
    </border>
    <border>
      <left/>
      <right/>
      <top style="thin">
        <color theme="6"/>
      </top>
      <bottom/>
      <diagonal/>
    </border>
    <border>
      <left/>
      <right style="thin">
        <color theme="6"/>
      </right>
      <top style="thin">
        <color theme="6"/>
      </top>
      <bottom/>
      <diagonal/>
    </border>
    <border>
      <left style="thin">
        <color theme="6"/>
      </left>
      <right/>
      <top style="thin">
        <color theme="6"/>
      </top>
      <bottom style="thin">
        <color theme="6"/>
      </bottom>
      <diagonal/>
    </border>
    <border>
      <left/>
      <right/>
      <top style="thin">
        <color theme="6"/>
      </top>
      <bottom style="thin">
        <color theme="6"/>
      </bottom>
      <diagonal/>
    </border>
    <border>
      <left/>
      <right style="thin">
        <color theme="6"/>
      </right>
      <top style="thin">
        <color theme="6"/>
      </top>
      <bottom style="thin">
        <color theme="6"/>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cellStyleXfs>
  <cellXfs count="34">
    <xf numFmtId="0" fontId="0" fillId="0" borderId="0" xfId="0"/>
    <xf numFmtId="0" fontId="2" fillId="2" borderId="1" xfId="0" applyFont="1" applyFill="1" applyBorder="1"/>
    <xf numFmtId="0" fontId="2" fillId="2" borderId="2" xfId="0" applyFont="1" applyFill="1" applyBorder="1"/>
    <xf numFmtId="164" fontId="2" fillId="2" borderId="2" xfId="1" applyNumberFormat="1" applyFont="1" applyFill="1" applyBorder="1"/>
    <xf numFmtId="0" fontId="2" fillId="2" borderId="3" xfId="0" applyFont="1" applyFill="1" applyBorder="1"/>
    <xf numFmtId="0" fontId="0" fillId="0" borderId="1" xfId="0" applyBorder="1"/>
    <xf numFmtId="0" fontId="3" fillId="0" borderId="2" xfId="3" applyBorder="1"/>
    <xf numFmtId="0" fontId="0" fillId="0" borderId="2" xfId="0" applyBorder="1"/>
    <xf numFmtId="164" fontId="0" fillId="0" borderId="2" xfId="1" applyNumberFormat="1" applyFont="1" applyBorder="1"/>
    <xf numFmtId="164" fontId="0" fillId="0" borderId="2" xfId="0" applyNumberFormat="1" applyBorder="1"/>
    <xf numFmtId="9" fontId="0" fillId="0" borderId="2" xfId="2" applyFont="1" applyBorder="1"/>
    <xf numFmtId="0" fontId="4" fillId="0" borderId="2" xfId="1" applyNumberFormat="1" applyFont="1" applyBorder="1"/>
    <xf numFmtId="165" fontId="4" fillId="0" borderId="2" xfId="1" applyNumberFormat="1" applyFont="1" applyBorder="1"/>
    <xf numFmtId="9" fontId="4" fillId="0" borderId="2" xfId="2" applyFont="1" applyBorder="1"/>
    <xf numFmtId="44" fontId="4" fillId="0" borderId="2" xfId="1" applyFont="1" applyBorder="1"/>
    <xf numFmtId="44" fontId="4" fillId="0" borderId="3" xfId="1" applyFont="1" applyBorder="1"/>
    <xf numFmtId="0" fontId="4" fillId="0" borderId="2" xfId="1" applyNumberFormat="1" applyFont="1" applyBorder="1" applyAlignment="1"/>
    <xf numFmtId="0" fontId="0" fillId="0" borderId="2" xfId="1" applyNumberFormat="1" applyFont="1" applyBorder="1"/>
    <xf numFmtId="164" fontId="0" fillId="0" borderId="2" xfId="1" applyNumberFormat="1" applyFont="1" applyBorder="1" applyAlignment="1"/>
    <xf numFmtId="0" fontId="3" fillId="0" borderId="2" xfId="3" applyNumberFormat="1" applyBorder="1"/>
    <xf numFmtId="0" fontId="0" fillId="0" borderId="4" xfId="0" applyBorder="1"/>
    <xf numFmtId="0" fontId="0" fillId="0" borderId="5" xfId="0" applyBorder="1"/>
    <xf numFmtId="0" fontId="3" fillId="0" borderId="5" xfId="3" applyNumberFormat="1" applyBorder="1"/>
    <xf numFmtId="0" fontId="3" fillId="0" borderId="5" xfId="3" applyBorder="1"/>
    <xf numFmtId="164" fontId="0" fillId="0" borderId="5" xfId="1" applyNumberFormat="1" applyFont="1" applyBorder="1"/>
    <xf numFmtId="164" fontId="0" fillId="0" borderId="5" xfId="0" applyNumberFormat="1" applyBorder="1"/>
    <xf numFmtId="9" fontId="0" fillId="0" borderId="5" xfId="2" applyFont="1" applyBorder="1"/>
    <xf numFmtId="0" fontId="4" fillId="0" borderId="5" xfId="1" applyNumberFormat="1" applyFont="1" applyBorder="1"/>
    <xf numFmtId="0" fontId="4" fillId="0" borderId="5" xfId="1" applyNumberFormat="1" applyFont="1" applyBorder="1" applyAlignment="1"/>
    <xf numFmtId="165" fontId="4" fillId="0" borderId="5" xfId="1" applyNumberFormat="1" applyFont="1" applyBorder="1"/>
    <xf numFmtId="9" fontId="4" fillId="0" borderId="5" xfId="2" applyFont="1" applyBorder="1"/>
    <xf numFmtId="44" fontId="4" fillId="0" borderId="5" xfId="1" applyFont="1" applyBorder="1"/>
    <xf numFmtId="44" fontId="4" fillId="0" borderId="6" xfId="1" applyFont="1" applyBorder="1"/>
    <xf numFmtId="0" fontId="4" fillId="0" borderId="2" xfId="1" applyNumberFormat="1" applyFont="1" applyBorder="1" applyAlignment="1">
      <alignment wrapText="1"/>
    </xf>
  </cellXfs>
  <cellStyles count="4">
    <cellStyle name="Currency" xfId="1" builtinId="4"/>
    <cellStyle name="Hyperlink" xfId="3" builtinId="8"/>
    <cellStyle name="Normal" xfId="0" builtinId="0"/>
    <cellStyle name="Percent" xfId="2" builtinId="5"/>
  </cellStyles>
  <dxfs count="0"/>
  <tableStyles count="1" defaultTableStyle="TableStyleMedium2" defaultPivotStyle="PivotStyleLight16">
    <tableStyle name="Invisible" pivot="0" table="0" count="0" xr9:uid="{BF8B5F40-AF6E-479A-AF9C-78FBFD0E669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4947A4-6249-4026-AD4C-2B2220E3605B}">
  <dimension ref="A1:AD34"/>
  <sheetViews>
    <sheetView tabSelected="1" workbookViewId="0">
      <selection sqref="A1:AD34"/>
    </sheetView>
  </sheetViews>
  <sheetFormatPr defaultRowHeight="15" x14ac:dyDescent="0.25"/>
  <sheetData>
    <row r="1" spans="1:30" x14ac:dyDescent="0.25">
      <c r="A1" s="1" t="s">
        <v>0</v>
      </c>
      <c r="B1" s="2" t="s">
        <v>1</v>
      </c>
      <c r="C1" s="2" t="s">
        <v>2</v>
      </c>
      <c r="D1" s="2" t="s">
        <v>3</v>
      </c>
      <c r="E1" s="2" t="s">
        <v>4</v>
      </c>
      <c r="F1" s="2" t="s">
        <v>5</v>
      </c>
      <c r="G1" s="3"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4" t="s">
        <v>29</v>
      </c>
    </row>
    <row r="2" spans="1:30" x14ac:dyDescent="0.25">
      <c r="A2" s="5">
        <v>1</v>
      </c>
      <c r="B2" s="6" t="s">
        <v>30</v>
      </c>
      <c r="C2" s="7" t="s">
        <v>31</v>
      </c>
      <c r="D2" s="7" t="s">
        <v>30</v>
      </c>
      <c r="E2" s="7" t="s">
        <v>32</v>
      </c>
      <c r="F2" s="7" t="s">
        <v>33</v>
      </c>
      <c r="G2" s="8">
        <v>840.24454680000008</v>
      </c>
      <c r="H2" s="8">
        <v>704.14078450000079</v>
      </c>
      <c r="I2" s="8">
        <v>23</v>
      </c>
      <c r="J2" s="8">
        <v>727.14078450000079</v>
      </c>
      <c r="K2" s="8">
        <v>83</v>
      </c>
      <c r="L2" s="9">
        <v>136.10376229999929</v>
      </c>
      <c r="M2" s="8">
        <v>256.74138930000026</v>
      </c>
      <c r="N2" s="8">
        <v>23.340126300000005</v>
      </c>
      <c r="O2" s="8" t="s">
        <v>34</v>
      </c>
      <c r="P2" s="10">
        <v>0.83801886865158615</v>
      </c>
      <c r="Q2" s="11" t="s">
        <v>35</v>
      </c>
      <c r="R2" s="11" t="s">
        <v>36</v>
      </c>
      <c r="S2" s="11" t="s">
        <v>37</v>
      </c>
      <c r="T2" s="11" t="s">
        <v>38</v>
      </c>
      <c r="U2" s="11" t="s">
        <v>39</v>
      </c>
      <c r="V2" s="11" t="s">
        <v>40</v>
      </c>
      <c r="W2" s="11" t="s">
        <v>41</v>
      </c>
      <c r="X2" s="11" t="s">
        <v>42</v>
      </c>
      <c r="Y2" s="11" t="s">
        <v>43</v>
      </c>
      <c r="Z2" s="12">
        <v>46072</v>
      </c>
      <c r="AA2" s="13">
        <v>0.49430917436831112</v>
      </c>
      <c r="AB2" s="13">
        <v>0.4323402397342212</v>
      </c>
      <c r="AC2" s="14" t="s">
        <v>31</v>
      </c>
      <c r="AD2" s="15" t="s">
        <v>44</v>
      </c>
    </row>
    <row r="3" spans="1:30" x14ac:dyDescent="0.25">
      <c r="A3" s="5">
        <v>2</v>
      </c>
      <c r="B3" s="6" t="s">
        <v>45</v>
      </c>
      <c r="C3" s="7" t="s">
        <v>46</v>
      </c>
      <c r="D3" s="7" t="s">
        <v>47</v>
      </c>
      <c r="E3" s="7" t="s">
        <v>32</v>
      </c>
      <c r="F3" s="7" t="s">
        <v>33</v>
      </c>
      <c r="G3" s="8">
        <v>1440.002</v>
      </c>
      <c r="H3" s="8">
        <v>933.57419400000003</v>
      </c>
      <c r="I3" s="8">
        <v>45</v>
      </c>
      <c r="J3" s="8">
        <v>978.57419400000003</v>
      </c>
      <c r="K3" s="8">
        <v>60</v>
      </c>
      <c r="L3" s="9">
        <v>506.42780599999992</v>
      </c>
      <c r="M3" s="8">
        <v>434.08749999999998</v>
      </c>
      <c r="N3" s="8">
        <v>45.0625</v>
      </c>
      <c r="O3" s="8" t="s">
        <v>34</v>
      </c>
      <c r="P3" s="10">
        <v>0.64831451206317769</v>
      </c>
      <c r="Q3" s="11" t="s">
        <v>35</v>
      </c>
      <c r="R3" s="11" t="s">
        <v>48</v>
      </c>
      <c r="S3" s="11" t="s">
        <v>49</v>
      </c>
      <c r="T3" s="11" t="s">
        <v>50</v>
      </c>
      <c r="U3" s="11" t="s">
        <v>51</v>
      </c>
      <c r="V3" s="11" t="s">
        <v>52</v>
      </c>
      <c r="W3" s="11" t="s">
        <v>53</v>
      </c>
      <c r="X3" s="11" t="s">
        <v>54</v>
      </c>
      <c r="Y3" s="11" t="s">
        <v>55</v>
      </c>
      <c r="Z3" s="12">
        <v>46072</v>
      </c>
      <c r="AA3" s="13">
        <v>0.2899944699302458</v>
      </c>
      <c r="AB3" s="13">
        <v>0.19000000008625473</v>
      </c>
      <c r="AC3" s="14" t="s">
        <v>46</v>
      </c>
      <c r="AD3" s="15" t="s">
        <v>56</v>
      </c>
    </row>
    <row r="4" spans="1:30" x14ac:dyDescent="0.25">
      <c r="A4" s="5">
        <v>3</v>
      </c>
      <c r="B4" s="6" t="s">
        <v>57</v>
      </c>
      <c r="C4" s="7" t="s">
        <v>58</v>
      </c>
      <c r="D4" s="7" t="s">
        <v>59</v>
      </c>
      <c r="E4" s="7" t="s">
        <v>32</v>
      </c>
      <c r="F4" s="7" t="s">
        <v>33</v>
      </c>
      <c r="G4" s="8">
        <v>849.8214484745763</v>
      </c>
      <c r="H4" s="8">
        <v>536.06426760000022</v>
      </c>
      <c r="I4" s="8">
        <v>68</v>
      </c>
      <c r="J4" s="8">
        <v>604.06426760000022</v>
      </c>
      <c r="K4" s="8">
        <v>81</v>
      </c>
      <c r="L4" s="9">
        <v>313.75718087457608</v>
      </c>
      <c r="M4" s="8">
        <v>282.54971539999985</v>
      </c>
      <c r="N4" s="8">
        <v>0</v>
      </c>
      <c r="O4" s="8" t="s">
        <v>60</v>
      </c>
      <c r="P4" s="10">
        <v>0.63079634970643761</v>
      </c>
      <c r="Q4" s="11" t="s">
        <v>35</v>
      </c>
      <c r="R4" s="11" t="s">
        <v>61</v>
      </c>
      <c r="S4" s="11" t="s">
        <v>62</v>
      </c>
      <c r="T4" s="11" t="s">
        <v>63</v>
      </c>
      <c r="U4" s="11" t="s">
        <v>64</v>
      </c>
      <c r="V4" s="11" t="s">
        <v>65</v>
      </c>
      <c r="W4" s="11" t="s">
        <v>66</v>
      </c>
      <c r="X4" s="11" t="s">
        <v>67</v>
      </c>
      <c r="Y4" s="11" t="s">
        <v>68</v>
      </c>
      <c r="Z4" s="12">
        <v>46073</v>
      </c>
      <c r="AA4" s="13">
        <v>0.32668642740913656</v>
      </c>
      <c r="AB4" s="13">
        <v>0.11942473989981339</v>
      </c>
      <c r="AC4" s="14" t="s">
        <v>58</v>
      </c>
      <c r="AD4" s="15" t="s">
        <v>69</v>
      </c>
    </row>
    <row r="5" spans="1:30" x14ac:dyDescent="0.25">
      <c r="A5" s="5">
        <v>4</v>
      </c>
      <c r="B5" s="6" t="s">
        <v>70</v>
      </c>
      <c r="C5" s="7" t="s">
        <v>71</v>
      </c>
      <c r="D5" s="7" t="s">
        <v>72</v>
      </c>
      <c r="E5" s="7" t="s">
        <v>73</v>
      </c>
      <c r="F5" s="7" t="s">
        <v>33</v>
      </c>
      <c r="G5" s="8">
        <v>2413.0259999999998</v>
      </c>
      <c r="H5" s="8">
        <v>950.23450000000003</v>
      </c>
      <c r="I5" s="8">
        <v>90</v>
      </c>
      <c r="J5" s="8">
        <v>1040.2345</v>
      </c>
      <c r="K5" s="8">
        <v>511.00000000000006</v>
      </c>
      <c r="L5" s="9">
        <v>1462.7914999999998</v>
      </c>
      <c r="M5" s="8">
        <v>950.23450000000003</v>
      </c>
      <c r="N5" s="8">
        <v>0</v>
      </c>
      <c r="O5" s="8" t="s">
        <v>74</v>
      </c>
      <c r="P5" s="10">
        <v>0.39379372621762054</v>
      </c>
      <c r="Q5" s="11" t="s">
        <v>75</v>
      </c>
      <c r="R5" s="11" t="s">
        <v>76</v>
      </c>
      <c r="S5" s="11" t="s">
        <v>77</v>
      </c>
      <c r="T5" s="11" t="s">
        <v>78</v>
      </c>
      <c r="U5" s="11" t="s">
        <v>79</v>
      </c>
      <c r="V5" s="11" t="s">
        <v>80</v>
      </c>
      <c r="W5" s="11" t="s">
        <v>81</v>
      </c>
      <c r="X5" s="11" t="s">
        <v>82</v>
      </c>
      <c r="Y5" s="11" t="s">
        <v>83</v>
      </c>
      <c r="Z5" s="12">
        <v>46072</v>
      </c>
      <c r="AA5" s="13">
        <v>0.38036140599024792</v>
      </c>
      <c r="AB5" s="13">
        <v>0.33027289323308273</v>
      </c>
      <c r="AC5" s="14" t="s">
        <v>71</v>
      </c>
      <c r="AD5" s="15" t="s">
        <v>84</v>
      </c>
    </row>
    <row r="6" spans="1:30" x14ac:dyDescent="0.25">
      <c r="A6" s="5">
        <v>5</v>
      </c>
      <c r="B6" s="6" t="s">
        <v>85</v>
      </c>
      <c r="C6" s="7" t="s">
        <v>86</v>
      </c>
      <c r="D6" s="7" t="s">
        <v>86</v>
      </c>
      <c r="E6" s="7" t="s">
        <v>32</v>
      </c>
      <c r="F6" s="7" t="s">
        <v>87</v>
      </c>
      <c r="G6" s="8">
        <v>1265.69472</v>
      </c>
      <c r="H6" s="8">
        <v>622.09375</v>
      </c>
      <c r="I6" s="8">
        <v>0</v>
      </c>
      <c r="J6" s="8">
        <v>622.09375</v>
      </c>
      <c r="K6" s="8">
        <v>147</v>
      </c>
      <c r="L6" s="9">
        <v>643.60096999999996</v>
      </c>
      <c r="M6" s="8">
        <v>186.62812500000001</v>
      </c>
      <c r="N6" s="8">
        <v>0</v>
      </c>
      <c r="O6" s="8" t="s">
        <v>88</v>
      </c>
      <c r="P6" s="10">
        <v>0.49150378852808996</v>
      </c>
      <c r="Q6" s="11" t="s">
        <v>89</v>
      </c>
      <c r="R6" s="11" t="s">
        <v>90</v>
      </c>
      <c r="S6" s="11" t="s">
        <v>91</v>
      </c>
      <c r="T6" s="11" t="s">
        <v>92</v>
      </c>
      <c r="U6" s="11" t="s">
        <v>93</v>
      </c>
      <c r="V6" s="11" t="s">
        <v>94</v>
      </c>
      <c r="W6" s="11" t="s">
        <v>95</v>
      </c>
      <c r="X6" s="16" t="s">
        <v>96</v>
      </c>
      <c r="Y6" s="11" t="s">
        <v>97</v>
      </c>
      <c r="Z6" s="12">
        <v>46065</v>
      </c>
      <c r="AA6" s="13">
        <v>-1.2597295959545218</v>
      </c>
      <c r="AB6" s="13">
        <v>0.15352074241150571</v>
      </c>
      <c r="AC6" s="14" t="s">
        <v>86</v>
      </c>
      <c r="AD6" s="15" t="s">
        <v>98</v>
      </c>
    </row>
    <row r="7" spans="1:30" x14ac:dyDescent="0.25">
      <c r="A7" s="5">
        <v>6</v>
      </c>
      <c r="B7" s="6" t="s">
        <v>99</v>
      </c>
      <c r="C7" s="7" t="s">
        <v>100</v>
      </c>
      <c r="D7" s="7" t="s">
        <v>101</v>
      </c>
      <c r="E7" s="7" t="s">
        <v>32</v>
      </c>
      <c r="F7" s="7" t="s">
        <v>87</v>
      </c>
      <c r="G7" s="8">
        <v>2186.2800000000002</v>
      </c>
      <c r="H7" s="8">
        <v>676.2</v>
      </c>
      <c r="I7" s="8">
        <v>388</v>
      </c>
      <c r="J7" s="8">
        <v>1064.2</v>
      </c>
      <c r="K7" s="8">
        <v>135</v>
      </c>
      <c r="L7" s="9">
        <v>1510.0800000000002</v>
      </c>
      <c r="M7" s="8">
        <v>676.2</v>
      </c>
      <c r="N7" s="8">
        <v>245.49</v>
      </c>
      <c r="O7" s="8" t="s">
        <v>102</v>
      </c>
      <c r="P7" s="10">
        <v>0.3092924968439541</v>
      </c>
      <c r="Q7" s="11" t="s">
        <v>103</v>
      </c>
      <c r="R7" s="11" t="s">
        <v>104</v>
      </c>
      <c r="S7" s="11" t="s">
        <v>105</v>
      </c>
      <c r="T7" s="11" t="s">
        <v>106</v>
      </c>
      <c r="U7" s="11" t="s">
        <v>107</v>
      </c>
      <c r="V7" s="11" t="s">
        <v>108</v>
      </c>
      <c r="W7" s="11" t="s">
        <v>109</v>
      </c>
      <c r="X7" s="11" t="s">
        <v>110</v>
      </c>
      <c r="Y7" s="11" t="s">
        <v>111</v>
      </c>
      <c r="Z7" s="12">
        <v>46065</v>
      </c>
      <c r="AA7" s="13">
        <v>0.24146562849872755</v>
      </c>
      <c r="AB7" s="13">
        <v>0.32590705634920647</v>
      </c>
      <c r="AC7" s="14" t="s">
        <v>100</v>
      </c>
      <c r="AD7" s="15" t="s">
        <v>112</v>
      </c>
    </row>
    <row r="8" spans="1:30" x14ac:dyDescent="0.25">
      <c r="A8" s="5">
        <v>7</v>
      </c>
      <c r="B8" s="6" t="s">
        <v>113</v>
      </c>
      <c r="C8" s="7" t="s">
        <v>114</v>
      </c>
      <c r="D8" s="7" t="s">
        <v>115</v>
      </c>
      <c r="E8" s="7" t="s">
        <v>32</v>
      </c>
      <c r="F8" s="7" t="s">
        <v>33</v>
      </c>
      <c r="G8" s="8">
        <v>1606.08</v>
      </c>
      <c r="H8" s="8">
        <v>631.65653049999992</v>
      </c>
      <c r="I8" s="8">
        <v>200.99999999999997</v>
      </c>
      <c r="J8" s="8">
        <v>832.65653049999992</v>
      </c>
      <c r="K8" s="8">
        <v>163</v>
      </c>
      <c r="L8" s="9">
        <v>974.42346950000001</v>
      </c>
      <c r="M8" s="8">
        <v>520.13092500000005</v>
      </c>
      <c r="N8" s="8">
        <v>0</v>
      </c>
      <c r="O8" s="8" t="s">
        <v>60</v>
      </c>
      <c r="P8" s="10">
        <v>0.39329082642209601</v>
      </c>
      <c r="Q8" s="11" t="s">
        <v>35</v>
      </c>
      <c r="R8" s="11" t="s">
        <v>116</v>
      </c>
      <c r="S8" s="11" t="s">
        <v>117</v>
      </c>
      <c r="T8" s="11" t="s">
        <v>118</v>
      </c>
      <c r="U8" s="11" t="s">
        <v>119</v>
      </c>
      <c r="V8" s="11" t="s">
        <v>120</v>
      </c>
      <c r="W8" s="11" t="s">
        <v>121</v>
      </c>
      <c r="X8" s="11" t="s">
        <v>122</v>
      </c>
      <c r="Y8" s="11" t="s">
        <v>123</v>
      </c>
      <c r="Z8" s="12">
        <v>46072</v>
      </c>
      <c r="AA8" s="13">
        <v>0.1842661259741768</v>
      </c>
      <c r="AB8" s="13">
        <v>0.10999999996973608</v>
      </c>
      <c r="AC8" s="14" t="s">
        <v>114</v>
      </c>
      <c r="AD8" s="15" t="s">
        <v>124</v>
      </c>
    </row>
    <row r="9" spans="1:30" x14ac:dyDescent="0.25">
      <c r="A9" s="5">
        <v>8</v>
      </c>
      <c r="B9" s="6" t="s">
        <v>125</v>
      </c>
      <c r="C9" s="7" t="s">
        <v>125</v>
      </c>
      <c r="D9" s="7" t="s">
        <v>125</v>
      </c>
      <c r="E9" s="7" t="s">
        <v>73</v>
      </c>
      <c r="F9" s="7" t="s">
        <v>126</v>
      </c>
      <c r="G9" s="8">
        <v>1372.5805700000001</v>
      </c>
      <c r="H9" s="8">
        <v>463.31861560000004</v>
      </c>
      <c r="I9" s="8">
        <v>34</v>
      </c>
      <c r="J9" s="8">
        <v>497.31861560000004</v>
      </c>
      <c r="K9" s="8">
        <v>194</v>
      </c>
      <c r="L9" s="9">
        <v>909.26195440000004</v>
      </c>
      <c r="M9" s="8">
        <v>107.50118679999999</v>
      </c>
      <c r="N9" s="8">
        <v>0</v>
      </c>
      <c r="O9" s="8" t="s">
        <v>127</v>
      </c>
      <c r="P9" s="10">
        <v>0.33755294641829298</v>
      </c>
      <c r="Q9" s="11" t="s">
        <v>128</v>
      </c>
      <c r="R9" s="11" t="s">
        <v>129</v>
      </c>
      <c r="S9" s="11" t="s">
        <v>130</v>
      </c>
      <c r="T9" s="11" t="s">
        <v>131</v>
      </c>
      <c r="U9" s="11" t="s">
        <v>132</v>
      </c>
      <c r="V9" s="11" t="s">
        <v>133</v>
      </c>
      <c r="W9" s="11" t="s">
        <v>134</v>
      </c>
      <c r="X9" s="11" t="s">
        <v>135</v>
      </c>
      <c r="Y9" s="11" t="s">
        <v>136</v>
      </c>
      <c r="Z9" s="12">
        <v>46071</v>
      </c>
      <c r="AA9" s="13">
        <v>0.11559792953217574</v>
      </c>
      <c r="AB9" s="13">
        <v>0.11441806775377272</v>
      </c>
      <c r="AC9" s="14" t="s">
        <v>125</v>
      </c>
      <c r="AD9" s="15" t="s">
        <v>137</v>
      </c>
    </row>
    <row r="10" spans="1:30" x14ac:dyDescent="0.25">
      <c r="A10" s="5">
        <v>9</v>
      </c>
      <c r="B10" s="6" t="s">
        <v>138</v>
      </c>
      <c r="C10" s="7" t="s">
        <v>139</v>
      </c>
      <c r="D10" s="7" t="s">
        <v>138</v>
      </c>
      <c r="E10" s="7" t="s">
        <v>32</v>
      </c>
      <c r="F10" s="7" t="s">
        <v>126</v>
      </c>
      <c r="G10" s="8">
        <v>5337.5</v>
      </c>
      <c r="H10" s="8">
        <v>3812.5</v>
      </c>
      <c r="I10" s="8">
        <v>890</v>
      </c>
      <c r="J10" s="8">
        <v>4702.5</v>
      </c>
      <c r="K10" s="8">
        <v>1043</v>
      </c>
      <c r="L10" s="9">
        <v>1525</v>
      </c>
      <c r="M10" s="8">
        <v>1143.75</v>
      </c>
      <c r="N10" s="8">
        <v>0</v>
      </c>
      <c r="O10" s="8" t="s">
        <v>140</v>
      </c>
      <c r="P10" s="10">
        <v>0.7142857142857143</v>
      </c>
      <c r="Q10" s="11" t="s">
        <v>75</v>
      </c>
      <c r="R10" s="11" t="s">
        <v>141</v>
      </c>
      <c r="S10" s="11" t="s">
        <v>142</v>
      </c>
      <c r="T10" s="11" t="s">
        <v>143</v>
      </c>
      <c r="U10" s="11" t="s">
        <v>144</v>
      </c>
      <c r="V10" s="11" t="s">
        <v>145</v>
      </c>
      <c r="W10" s="11" t="s">
        <v>146</v>
      </c>
      <c r="X10" s="11" t="s">
        <v>135</v>
      </c>
      <c r="Y10" s="11" t="s">
        <v>147</v>
      </c>
      <c r="Z10" s="12">
        <v>46072</v>
      </c>
      <c r="AA10" s="13">
        <v>0.30923010376191506</v>
      </c>
      <c r="AB10" s="13">
        <v>0.51229508024724535</v>
      </c>
      <c r="AC10" s="14" t="s">
        <v>139</v>
      </c>
      <c r="AD10" s="15" t="s">
        <v>148</v>
      </c>
    </row>
    <row r="11" spans="1:30" x14ac:dyDescent="0.25">
      <c r="A11" s="5">
        <v>10</v>
      </c>
      <c r="B11" s="6" t="s">
        <v>149</v>
      </c>
      <c r="C11" s="7" t="s">
        <v>150</v>
      </c>
      <c r="D11" s="7" t="s">
        <v>150</v>
      </c>
      <c r="E11" s="7" t="s">
        <v>151</v>
      </c>
      <c r="F11" s="7" t="s">
        <v>152</v>
      </c>
      <c r="G11" s="8">
        <v>680.69294500000001</v>
      </c>
      <c r="H11" s="8">
        <v>321.20014670000012</v>
      </c>
      <c r="I11" s="8">
        <v>15</v>
      </c>
      <c r="J11" s="8">
        <v>336.20014670000012</v>
      </c>
      <c r="K11" s="8">
        <v>82</v>
      </c>
      <c r="L11" s="9">
        <v>359.49279829999989</v>
      </c>
      <c r="M11" s="8">
        <v>102.0954215</v>
      </c>
      <c r="N11" s="8">
        <v>8.0004816999999999</v>
      </c>
      <c r="O11" s="8" t="s">
        <v>153</v>
      </c>
      <c r="P11" s="10">
        <v>0.47187230168809829</v>
      </c>
      <c r="Q11" s="11" t="s">
        <v>35</v>
      </c>
      <c r="R11" s="11" t="s">
        <v>154</v>
      </c>
      <c r="S11" s="11" t="s">
        <v>37</v>
      </c>
      <c r="T11" s="11" t="s">
        <v>155</v>
      </c>
      <c r="U11" s="11" t="s">
        <v>156</v>
      </c>
      <c r="V11" s="11" t="s">
        <v>157</v>
      </c>
      <c r="W11" s="11" t="s">
        <v>158</v>
      </c>
      <c r="X11" s="11" t="s">
        <v>135</v>
      </c>
      <c r="Y11" s="11" t="s">
        <v>159</v>
      </c>
      <c r="Z11" s="12">
        <v>46065</v>
      </c>
      <c r="AA11" s="13">
        <v>0.42655362808351027</v>
      </c>
      <c r="AB11" s="13">
        <v>0.12040585230689282</v>
      </c>
      <c r="AC11" s="14" t="s">
        <v>150</v>
      </c>
      <c r="AD11" s="15" t="s">
        <v>160</v>
      </c>
    </row>
    <row r="12" spans="1:30" x14ac:dyDescent="0.25">
      <c r="A12" s="5">
        <v>11</v>
      </c>
      <c r="B12" s="6" t="s">
        <v>161</v>
      </c>
      <c r="C12" s="7" t="s">
        <v>162</v>
      </c>
      <c r="D12" s="7" t="s">
        <v>162</v>
      </c>
      <c r="E12" s="7" t="s">
        <v>73</v>
      </c>
      <c r="F12" s="7" t="s">
        <v>126</v>
      </c>
      <c r="G12" s="8">
        <v>1045.762712</v>
      </c>
      <c r="H12" s="8">
        <v>709.40253320000011</v>
      </c>
      <c r="I12" s="8">
        <v>0</v>
      </c>
      <c r="J12" s="8">
        <v>709.40253320000011</v>
      </c>
      <c r="K12" s="8">
        <v>0</v>
      </c>
      <c r="L12" s="9">
        <v>336.36017879999986</v>
      </c>
      <c r="M12" s="8">
        <v>-0.59409959999999995</v>
      </c>
      <c r="N12" s="8">
        <v>0</v>
      </c>
      <c r="O12" s="8" t="s">
        <v>163</v>
      </c>
      <c r="P12" s="10">
        <v>0.6783589862783328</v>
      </c>
      <c r="Q12" s="11" t="s">
        <v>164</v>
      </c>
      <c r="R12" s="11" t="s">
        <v>165</v>
      </c>
      <c r="S12" s="11" t="s">
        <v>166</v>
      </c>
      <c r="T12" s="11" t="s">
        <v>167</v>
      </c>
      <c r="U12" s="11" t="s">
        <v>168</v>
      </c>
      <c r="V12" s="11" t="s">
        <v>169</v>
      </c>
      <c r="W12" s="11" t="s">
        <v>170</v>
      </c>
      <c r="X12" s="11" t="s">
        <v>135</v>
      </c>
      <c r="Y12" s="11" t="s">
        <v>171</v>
      </c>
      <c r="Z12" s="12">
        <v>46072</v>
      </c>
      <c r="AA12" s="13" t="s">
        <v>172</v>
      </c>
      <c r="AB12" s="13">
        <v>0.18000000439604424</v>
      </c>
      <c r="AC12" s="14" t="s">
        <v>162</v>
      </c>
      <c r="AD12" s="15" t="s">
        <v>173</v>
      </c>
    </row>
    <row r="13" spans="1:30" x14ac:dyDescent="0.25">
      <c r="A13" s="5">
        <v>12</v>
      </c>
      <c r="B13" s="6" t="s">
        <v>174</v>
      </c>
      <c r="C13" s="7" t="s">
        <v>175</v>
      </c>
      <c r="D13" s="7" t="s">
        <v>174</v>
      </c>
      <c r="E13" s="7" t="s">
        <v>73</v>
      </c>
      <c r="F13" s="7" t="s">
        <v>126</v>
      </c>
      <c r="G13" s="8">
        <v>2019.8763390000001</v>
      </c>
      <c r="H13" s="8">
        <v>493.68378150000001</v>
      </c>
      <c r="I13" s="8">
        <v>0</v>
      </c>
      <c r="J13" s="8">
        <v>493.68378150000001</v>
      </c>
      <c r="K13" s="8">
        <v>0</v>
      </c>
      <c r="L13" s="9">
        <v>1526.1925575</v>
      </c>
      <c r="M13" s="8">
        <v>332.84704210000001</v>
      </c>
      <c r="N13" s="8">
        <v>86.215819299999993</v>
      </c>
      <c r="O13" s="8" t="s">
        <v>153</v>
      </c>
      <c r="P13" s="10">
        <v>0.24441287417843255</v>
      </c>
      <c r="Q13" s="11" t="s">
        <v>75</v>
      </c>
      <c r="R13" s="11" t="s">
        <v>176</v>
      </c>
      <c r="S13" s="11" t="s">
        <v>177</v>
      </c>
      <c r="T13" s="11" t="s">
        <v>178</v>
      </c>
      <c r="U13" s="11" t="s">
        <v>179</v>
      </c>
      <c r="V13" s="11" t="s">
        <v>180</v>
      </c>
      <c r="W13" s="11" t="s">
        <v>181</v>
      </c>
      <c r="X13" s="11" t="s">
        <v>135</v>
      </c>
      <c r="Y13" s="11" t="s">
        <v>182</v>
      </c>
      <c r="Z13" s="12">
        <v>46072</v>
      </c>
      <c r="AA13" s="13">
        <v>0.20464248769040694</v>
      </c>
      <c r="AB13" s="13">
        <v>0.2046391013686556</v>
      </c>
      <c r="AC13" s="14" t="s">
        <v>175</v>
      </c>
      <c r="AD13" s="15" t="s">
        <v>173</v>
      </c>
    </row>
    <row r="14" spans="1:30" x14ac:dyDescent="0.25">
      <c r="A14" s="5">
        <v>13</v>
      </c>
      <c r="B14" s="6" t="s">
        <v>183</v>
      </c>
      <c r="C14" s="7" t="s">
        <v>184</v>
      </c>
      <c r="D14" s="7" t="s">
        <v>185</v>
      </c>
      <c r="E14" s="7" t="s">
        <v>73</v>
      </c>
      <c r="F14" s="7" t="s">
        <v>126</v>
      </c>
      <c r="G14" s="8">
        <v>2903.04126</v>
      </c>
      <c r="H14" s="8">
        <v>1728.2472397000006</v>
      </c>
      <c r="I14" s="8">
        <v>0</v>
      </c>
      <c r="J14" s="8">
        <v>1728.2472397000006</v>
      </c>
      <c r="K14" s="8">
        <v>936.99999999999989</v>
      </c>
      <c r="L14" s="9">
        <v>1174.7940202999994</v>
      </c>
      <c r="M14" s="8">
        <v>61.03792</v>
      </c>
      <c r="N14" s="8">
        <v>0</v>
      </c>
      <c r="O14" s="8" t="s">
        <v>186</v>
      </c>
      <c r="P14" s="10">
        <v>0.59532300264309734</v>
      </c>
      <c r="Q14" s="11" t="s">
        <v>75</v>
      </c>
      <c r="R14" s="11" t="s">
        <v>187</v>
      </c>
      <c r="S14" s="11" t="s">
        <v>188</v>
      </c>
      <c r="T14" s="11" t="s">
        <v>189</v>
      </c>
      <c r="U14" s="11" t="s">
        <v>190</v>
      </c>
      <c r="V14" s="11" t="s">
        <v>191</v>
      </c>
      <c r="W14" s="11" t="s">
        <v>192</v>
      </c>
      <c r="X14" s="11" t="s">
        <v>135</v>
      </c>
      <c r="Y14" s="11" t="s">
        <v>193</v>
      </c>
      <c r="Z14" s="12">
        <v>46072</v>
      </c>
      <c r="AA14" s="13">
        <v>-0.73416857586234929</v>
      </c>
      <c r="AB14" s="13">
        <v>-0.204144834903355</v>
      </c>
      <c r="AC14" s="14" t="s">
        <v>184</v>
      </c>
      <c r="AD14" s="15" t="s">
        <v>194</v>
      </c>
    </row>
    <row r="15" spans="1:30" x14ac:dyDescent="0.25">
      <c r="A15" s="5">
        <v>14</v>
      </c>
      <c r="B15" s="6" t="s">
        <v>195</v>
      </c>
      <c r="C15" s="7" t="s">
        <v>196</v>
      </c>
      <c r="D15" s="7" t="s">
        <v>196</v>
      </c>
      <c r="E15" s="7" t="s">
        <v>73</v>
      </c>
      <c r="F15" s="7" t="s">
        <v>87</v>
      </c>
      <c r="G15" s="8">
        <v>1047.3630700000001</v>
      </c>
      <c r="H15" s="8">
        <v>162.96677500000001</v>
      </c>
      <c r="I15" s="8">
        <v>0</v>
      </c>
      <c r="J15" s="8">
        <v>162.96677500000001</v>
      </c>
      <c r="K15" s="8">
        <v>114.99999999999999</v>
      </c>
      <c r="L15" s="9">
        <v>884.39629500000012</v>
      </c>
      <c r="M15" s="8">
        <v>0</v>
      </c>
      <c r="N15" s="8">
        <v>0</v>
      </c>
      <c r="O15" s="8" t="s">
        <v>197</v>
      </c>
      <c r="P15" s="10">
        <v>0.15559721329490833</v>
      </c>
      <c r="Q15" s="11" t="s">
        <v>198</v>
      </c>
      <c r="R15" s="11" t="s">
        <v>199</v>
      </c>
      <c r="S15" s="11" t="s">
        <v>200</v>
      </c>
      <c r="T15" s="11" t="s">
        <v>201</v>
      </c>
      <c r="U15" s="11" t="s">
        <v>202</v>
      </c>
      <c r="V15" s="11" t="s">
        <v>203</v>
      </c>
      <c r="W15" s="11" t="s">
        <v>204</v>
      </c>
      <c r="X15" s="11" t="s">
        <v>205</v>
      </c>
      <c r="Y15" s="11" t="s">
        <v>206</v>
      </c>
      <c r="Z15" s="12">
        <v>46072</v>
      </c>
      <c r="AA15" s="13" t="s">
        <v>172</v>
      </c>
      <c r="AB15" s="13">
        <v>-9.5509698226650848</v>
      </c>
      <c r="AC15" s="14" t="s">
        <v>196</v>
      </c>
      <c r="AD15" s="15" t="s">
        <v>207</v>
      </c>
    </row>
    <row r="16" spans="1:30" x14ac:dyDescent="0.25">
      <c r="A16" s="5">
        <v>15</v>
      </c>
      <c r="B16" s="6" t="s">
        <v>208</v>
      </c>
      <c r="C16" s="7" t="s">
        <v>209</v>
      </c>
      <c r="D16" s="7" t="s">
        <v>208</v>
      </c>
      <c r="E16" s="7" t="s">
        <v>210</v>
      </c>
      <c r="F16" s="7" t="s">
        <v>126</v>
      </c>
      <c r="G16" s="8">
        <v>669.18430290000003</v>
      </c>
      <c r="H16" s="8">
        <v>662.96125290000009</v>
      </c>
      <c r="I16" s="8">
        <v>0</v>
      </c>
      <c r="J16" s="8">
        <v>662.96125290000009</v>
      </c>
      <c r="K16" s="8">
        <v>252.99999999999997</v>
      </c>
      <c r="L16" s="9">
        <v>6.2230499999999438</v>
      </c>
      <c r="M16" s="8">
        <v>347.80687999999998</v>
      </c>
      <c r="N16" s="8">
        <v>0</v>
      </c>
      <c r="O16" s="8" t="s">
        <v>211</v>
      </c>
      <c r="P16" s="10">
        <v>0.9907005439711728</v>
      </c>
      <c r="Q16" s="16" t="s">
        <v>212</v>
      </c>
      <c r="R16" s="11" t="s">
        <v>213</v>
      </c>
      <c r="S16" s="11" t="s">
        <v>214</v>
      </c>
      <c r="T16" s="11" t="s">
        <v>201</v>
      </c>
      <c r="U16" s="11" t="s">
        <v>215</v>
      </c>
      <c r="V16" s="11" t="s">
        <v>216</v>
      </c>
      <c r="W16" s="11" t="s">
        <v>217</v>
      </c>
      <c r="X16" s="11" t="s">
        <v>135</v>
      </c>
      <c r="Y16" s="11" t="s">
        <v>218</v>
      </c>
      <c r="Z16" s="12">
        <v>46072</v>
      </c>
      <c r="AA16" s="13">
        <v>0.74420388179613817</v>
      </c>
      <c r="AB16" s="13">
        <v>0.20000000003501683</v>
      </c>
      <c r="AC16" s="14" t="s">
        <v>209</v>
      </c>
      <c r="AD16" s="15" t="s">
        <v>219</v>
      </c>
    </row>
    <row r="17" spans="1:30" x14ac:dyDescent="0.25">
      <c r="A17" s="5">
        <v>16</v>
      </c>
      <c r="B17" s="6" t="s">
        <v>220</v>
      </c>
      <c r="C17" s="7" t="s">
        <v>221</v>
      </c>
      <c r="D17" s="7" t="s">
        <v>222</v>
      </c>
      <c r="E17" s="7" t="s">
        <v>73</v>
      </c>
      <c r="F17" s="7" t="s">
        <v>126</v>
      </c>
      <c r="G17" s="8">
        <v>218.58204000000001</v>
      </c>
      <c r="H17" s="8">
        <v>142.36976870000001</v>
      </c>
      <c r="I17" s="8">
        <v>71</v>
      </c>
      <c r="J17" s="8">
        <v>213.36976870000001</v>
      </c>
      <c r="K17" s="8">
        <v>186</v>
      </c>
      <c r="L17" s="9">
        <v>76.212271299999998</v>
      </c>
      <c r="M17" s="8">
        <v>142.36976870000001</v>
      </c>
      <c r="N17" s="8">
        <v>71.112023699999995</v>
      </c>
      <c r="O17" s="8" t="s">
        <v>223</v>
      </c>
      <c r="P17" s="10">
        <v>0.65133333324183451</v>
      </c>
      <c r="Q17" s="11" t="s">
        <v>35</v>
      </c>
      <c r="R17" s="11" t="s">
        <v>224</v>
      </c>
      <c r="S17" s="11" t="s">
        <v>225</v>
      </c>
      <c r="T17" s="11" t="s">
        <v>226</v>
      </c>
      <c r="U17" s="11" t="s">
        <v>227</v>
      </c>
      <c r="V17" s="11" t="s">
        <v>228</v>
      </c>
      <c r="W17" s="11" t="s">
        <v>229</v>
      </c>
      <c r="X17" s="11" t="s">
        <v>135</v>
      </c>
      <c r="Y17" s="11" t="s">
        <v>230</v>
      </c>
      <c r="Z17" s="12">
        <v>46072</v>
      </c>
      <c r="AA17" s="13">
        <v>1</v>
      </c>
      <c r="AB17" s="13" t="s">
        <v>172</v>
      </c>
      <c r="AC17" s="14" t="s">
        <v>221</v>
      </c>
      <c r="AD17" s="15" t="s">
        <v>231</v>
      </c>
    </row>
    <row r="18" spans="1:30" x14ac:dyDescent="0.25">
      <c r="A18" s="5">
        <v>17</v>
      </c>
      <c r="B18" s="6" t="s">
        <v>232</v>
      </c>
      <c r="C18" s="7" t="s">
        <v>233</v>
      </c>
      <c r="D18" s="7" t="s">
        <v>234</v>
      </c>
      <c r="E18" s="7" t="s">
        <v>73</v>
      </c>
      <c r="F18" s="7" t="s">
        <v>235</v>
      </c>
      <c r="G18" s="8">
        <v>171.31355932203391</v>
      </c>
      <c r="H18" s="8">
        <v>171.31355930000001</v>
      </c>
      <c r="I18" s="8">
        <v>0</v>
      </c>
      <c r="J18" s="8">
        <v>171.31355930000001</v>
      </c>
      <c r="K18" s="8">
        <v>51</v>
      </c>
      <c r="L18" s="9">
        <v>2.2033901814211276E-8</v>
      </c>
      <c r="M18" s="8">
        <v>171.31355930000001</v>
      </c>
      <c r="N18" s="8">
        <v>0</v>
      </c>
      <c r="O18" s="8" t="s">
        <v>236</v>
      </c>
      <c r="P18" s="10">
        <v>0.99999999987138266</v>
      </c>
      <c r="Q18" s="11" t="s">
        <v>237</v>
      </c>
      <c r="R18" s="11" t="s">
        <v>238</v>
      </c>
      <c r="S18" s="11" t="s">
        <v>239</v>
      </c>
      <c r="T18" s="11" t="s">
        <v>240</v>
      </c>
      <c r="U18" s="33" t="s">
        <v>403</v>
      </c>
      <c r="V18" s="11" t="s">
        <v>241</v>
      </c>
      <c r="W18" s="11" t="s">
        <v>242</v>
      </c>
      <c r="X18" s="11" t="s">
        <v>243</v>
      </c>
      <c r="Y18" s="11" t="s">
        <v>244</v>
      </c>
      <c r="Z18" s="12">
        <v>46072</v>
      </c>
      <c r="AA18" s="13">
        <v>0.21799999984005936</v>
      </c>
      <c r="AB18" s="13" t="s">
        <v>172</v>
      </c>
      <c r="AC18" s="14" t="s">
        <v>233</v>
      </c>
      <c r="AD18" s="15" t="s">
        <v>245</v>
      </c>
    </row>
    <row r="19" spans="1:30" x14ac:dyDescent="0.25">
      <c r="A19" s="5">
        <v>18</v>
      </c>
      <c r="B19" s="6" t="s">
        <v>246</v>
      </c>
      <c r="C19" s="7" t="s">
        <v>247</v>
      </c>
      <c r="D19" s="7" t="s">
        <v>248</v>
      </c>
      <c r="E19" s="7" t="s">
        <v>32</v>
      </c>
      <c r="F19" s="7" t="s">
        <v>87</v>
      </c>
      <c r="G19" s="8">
        <v>111.36</v>
      </c>
      <c r="H19" s="8">
        <v>55.68</v>
      </c>
      <c r="I19" s="8">
        <v>0</v>
      </c>
      <c r="J19" s="8">
        <v>55.68</v>
      </c>
      <c r="K19" s="8">
        <v>0</v>
      </c>
      <c r="L19" s="9">
        <v>55.68</v>
      </c>
      <c r="M19" s="8">
        <v>55.68</v>
      </c>
      <c r="N19" s="8">
        <v>22.271999999999998</v>
      </c>
      <c r="O19" s="8" t="s">
        <v>249</v>
      </c>
      <c r="P19" s="10">
        <v>0.5</v>
      </c>
      <c r="Q19" s="11" t="s">
        <v>250</v>
      </c>
      <c r="R19" s="11" t="s">
        <v>251</v>
      </c>
      <c r="S19" s="11" t="s">
        <v>252</v>
      </c>
      <c r="T19" s="11" t="s">
        <v>253</v>
      </c>
      <c r="U19" s="11" t="s">
        <v>254</v>
      </c>
      <c r="V19" s="11" t="s">
        <v>255</v>
      </c>
      <c r="W19" s="11" t="s">
        <v>256</v>
      </c>
      <c r="X19" s="11" t="s">
        <v>257</v>
      </c>
      <c r="Y19" s="11" t="s">
        <v>258</v>
      </c>
      <c r="Z19" s="12">
        <v>46072</v>
      </c>
      <c r="AA19" s="13">
        <v>0.37134548199533057</v>
      </c>
      <c r="AB19" s="13" t="s">
        <v>172</v>
      </c>
      <c r="AC19" s="14" t="s">
        <v>247</v>
      </c>
      <c r="AD19" s="15" t="s">
        <v>98</v>
      </c>
    </row>
    <row r="20" spans="1:30" x14ac:dyDescent="0.25">
      <c r="A20" s="5">
        <v>19</v>
      </c>
      <c r="B20" s="6" t="s">
        <v>259</v>
      </c>
      <c r="C20" s="7" t="s">
        <v>259</v>
      </c>
      <c r="D20" s="7" t="s">
        <v>260</v>
      </c>
      <c r="E20" s="7" t="s">
        <v>32</v>
      </c>
      <c r="F20" s="7" t="s">
        <v>87</v>
      </c>
      <c r="G20" s="8">
        <v>218.28</v>
      </c>
      <c r="H20" s="8">
        <v>65.483999999999995</v>
      </c>
      <c r="I20" s="8">
        <v>0</v>
      </c>
      <c r="J20" s="8">
        <v>65.483999999999995</v>
      </c>
      <c r="K20" s="8">
        <v>0</v>
      </c>
      <c r="L20" s="9">
        <v>152.79599999999999</v>
      </c>
      <c r="M20" s="8">
        <v>65.483999999999995</v>
      </c>
      <c r="N20" s="8">
        <v>43.655999999999999</v>
      </c>
      <c r="O20" s="17" t="s">
        <v>261</v>
      </c>
      <c r="P20" s="10">
        <v>0.3</v>
      </c>
      <c r="Q20" s="11" t="s">
        <v>135</v>
      </c>
      <c r="R20" s="11" t="s">
        <v>262</v>
      </c>
      <c r="S20" s="11" t="s">
        <v>263</v>
      </c>
      <c r="T20" s="11" t="s">
        <v>135</v>
      </c>
      <c r="U20" s="11" t="s">
        <v>264</v>
      </c>
      <c r="V20" s="11" t="s">
        <v>265</v>
      </c>
      <c r="W20" s="11" t="s">
        <v>266</v>
      </c>
      <c r="X20" s="11">
        <v>0</v>
      </c>
      <c r="Y20" s="11">
        <v>0</v>
      </c>
      <c r="Z20" s="12">
        <v>46072</v>
      </c>
      <c r="AA20" s="13">
        <v>0.38003457302547183</v>
      </c>
      <c r="AB20" s="13" t="s">
        <v>172</v>
      </c>
      <c r="AC20" s="14" t="s">
        <v>259</v>
      </c>
      <c r="AD20" s="15" t="s">
        <v>267</v>
      </c>
    </row>
    <row r="21" spans="1:30" x14ac:dyDescent="0.25">
      <c r="A21" s="5">
        <v>20</v>
      </c>
      <c r="B21" s="6" t="s">
        <v>268</v>
      </c>
      <c r="C21" s="7" t="s">
        <v>269</v>
      </c>
      <c r="D21" s="7" t="s">
        <v>270</v>
      </c>
      <c r="E21" s="7" t="s">
        <v>32</v>
      </c>
      <c r="F21" s="7" t="s">
        <v>33</v>
      </c>
      <c r="G21" s="8">
        <v>509.88</v>
      </c>
      <c r="H21" s="8">
        <v>29.608499999999999</v>
      </c>
      <c r="I21" s="8">
        <v>9</v>
      </c>
      <c r="J21" s="8">
        <v>38.608499999999999</v>
      </c>
      <c r="K21" s="8">
        <v>35</v>
      </c>
      <c r="L21" s="9">
        <v>480.2715</v>
      </c>
      <c r="M21" s="8">
        <v>29.608499999999999</v>
      </c>
      <c r="N21" s="8">
        <v>0</v>
      </c>
      <c r="O21" s="8" t="s">
        <v>271</v>
      </c>
      <c r="P21" s="10">
        <v>5.8069545775476579E-2</v>
      </c>
      <c r="Q21" s="11" t="s">
        <v>35</v>
      </c>
      <c r="R21" s="11" t="s">
        <v>272</v>
      </c>
      <c r="S21" s="11" t="s">
        <v>273</v>
      </c>
      <c r="T21" s="11" t="s">
        <v>274</v>
      </c>
      <c r="U21" s="11" t="s">
        <v>275</v>
      </c>
      <c r="V21" s="11" t="s">
        <v>276</v>
      </c>
      <c r="W21" s="11" t="s">
        <v>277</v>
      </c>
      <c r="X21" s="11" t="s">
        <v>278</v>
      </c>
      <c r="Y21" s="11" t="s">
        <v>279</v>
      </c>
      <c r="Z21" s="12">
        <v>46071</v>
      </c>
      <c r="AA21" s="13">
        <v>0.26149387626716003</v>
      </c>
      <c r="AB21" s="13" t="s">
        <v>172</v>
      </c>
      <c r="AC21" s="14" t="s">
        <v>269</v>
      </c>
      <c r="AD21" s="15" t="s">
        <v>280</v>
      </c>
    </row>
    <row r="22" spans="1:30" x14ac:dyDescent="0.25">
      <c r="A22" s="5">
        <v>21</v>
      </c>
      <c r="B22" s="6" t="s">
        <v>281</v>
      </c>
      <c r="C22" s="7" t="s">
        <v>282</v>
      </c>
      <c r="D22" s="7" t="s">
        <v>283</v>
      </c>
      <c r="E22" s="7" t="s">
        <v>73</v>
      </c>
      <c r="F22" s="7"/>
      <c r="G22" s="8">
        <v>0</v>
      </c>
      <c r="H22" s="8">
        <v>0</v>
      </c>
      <c r="I22" s="8">
        <v>0</v>
      </c>
      <c r="J22" s="8">
        <v>0</v>
      </c>
      <c r="K22" s="8">
        <v>0</v>
      </c>
      <c r="L22" s="9">
        <v>0</v>
      </c>
      <c r="M22" s="8">
        <v>0</v>
      </c>
      <c r="N22" s="8">
        <v>0</v>
      </c>
      <c r="O22" s="8" t="s">
        <v>284</v>
      </c>
      <c r="P22" s="10">
        <v>0</v>
      </c>
      <c r="Q22" s="11">
        <v>0</v>
      </c>
      <c r="R22" s="11" t="s">
        <v>285</v>
      </c>
      <c r="S22" s="11" t="s">
        <v>135</v>
      </c>
      <c r="T22" s="11" t="s">
        <v>286</v>
      </c>
      <c r="U22" s="11" t="s">
        <v>287</v>
      </c>
      <c r="V22" s="11" t="s">
        <v>288</v>
      </c>
      <c r="W22" s="11" t="s">
        <v>289</v>
      </c>
      <c r="X22" s="11" t="s">
        <v>135</v>
      </c>
      <c r="Y22" s="11" t="s">
        <v>290</v>
      </c>
      <c r="Z22" s="12">
        <v>45925</v>
      </c>
      <c r="AA22" s="13" t="s">
        <v>172</v>
      </c>
      <c r="AB22" s="13" t="s">
        <v>172</v>
      </c>
      <c r="AC22" s="14" t="s">
        <v>282</v>
      </c>
      <c r="AD22" s="15" t="s">
        <v>291</v>
      </c>
    </row>
    <row r="23" spans="1:30" x14ac:dyDescent="0.25">
      <c r="A23" s="5">
        <v>22</v>
      </c>
      <c r="B23" s="6" t="s">
        <v>292</v>
      </c>
      <c r="C23" s="7" t="s">
        <v>293</v>
      </c>
      <c r="D23" s="7" t="s">
        <v>294</v>
      </c>
      <c r="E23" s="7" t="s">
        <v>151</v>
      </c>
      <c r="F23" s="7" t="s">
        <v>152</v>
      </c>
      <c r="G23" s="8">
        <v>6660.9289406779662</v>
      </c>
      <c r="H23" s="8">
        <v>6305.3207339000001</v>
      </c>
      <c r="I23" s="8">
        <v>0</v>
      </c>
      <c r="J23" s="8">
        <v>6305.3207339000001</v>
      </c>
      <c r="K23" s="8">
        <v>0</v>
      </c>
      <c r="L23" s="9">
        <v>355.60820677796619</v>
      </c>
      <c r="M23" s="8">
        <v>253.35620840000004</v>
      </c>
      <c r="N23" s="8">
        <v>0</v>
      </c>
      <c r="O23" s="8" t="s">
        <v>295</v>
      </c>
      <c r="P23" s="10">
        <v>0.9466128208324992</v>
      </c>
      <c r="Q23" s="11" t="s">
        <v>75</v>
      </c>
      <c r="R23" s="11" t="s">
        <v>296</v>
      </c>
      <c r="S23" s="11" t="s">
        <v>263</v>
      </c>
      <c r="T23" s="11" t="s">
        <v>297</v>
      </c>
      <c r="U23" s="11" t="s">
        <v>298</v>
      </c>
      <c r="V23" s="11" t="s">
        <v>299</v>
      </c>
      <c r="W23" s="11" t="s">
        <v>300</v>
      </c>
      <c r="X23" s="11" t="s">
        <v>301</v>
      </c>
      <c r="Y23" s="11" t="s">
        <v>302</v>
      </c>
      <c r="Z23" s="12">
        <v>46072</v>
      </c>
      <c r="AA23" s="13">
        <v>0.30380345714776924</v>
      </c>
      <c r="AB23" s="13">
        <v>4.7055080021901952E-2</v>
      </c>
      <c r="AC23" s="14" t="e">
        <v>#N/A</v>
      </c>
      <c r="AD23" s="15" t="s">
        <v>303</v>
      </c>
    </row>
    <row r="24" spans="1:30" x14ac:dyDescent="0.25">
      <c r="A24" s="5">
        <v>23</v>
      </c>
      <c r="B24" s="6" t="s">
        <v>304</v>
      </c>
      <c r="C24" s="7" t="s">
        <v>305</v>
      </c>
      <c r="D24" s="7" t="s">
        <v>305</v>
      </c>
      <c r="E24" s="7" t="s">
        <v>210</v>
      </c>
      <c r="F24" s="7" t="s">
        <v>126</v>
      </c>
      <c r="G24" s="8">
        <v>360.9787</v>
      </c>
      <c r="H24" s="8">
        <v>126.342545</v>
      </c>
      <c r="I24" s="8">
        <v>0</v>
      </c>
      <c r="J24" s="8">
        <v>126.342545</v>
      </c>
      <c r="K24" s="8">
        <v>0</v>
      </c>
      <c r="L24" s="9">
        <v>234.636155</v>
      </c>
      <c r="M24" s="8">
        <v>90.244675000000001</v>
      </c>
      <c r="N24" s="8">
        <v>0</v>
      </c>
      <c r="O24" s="8" t="s">
        <v>306</v>
      </c>
      <c r="P24" s="10">
        <v>0.35</v>
      </c>
      <c r="Q24" s="11" t="s">
        <v>75</v>
      </c>
      <c r="R24" s="11" t="s">
        <v>307</v>
      </c>
      <c r="S24" s="11" t="s">
        <v>308</v>
      </c>
      <c r="T24" s="11" t="s">
        <v>309</v>
      </c>
      <c r="U24" s="16" t="s">
        <v>310</v>
      </c>
      <c r="V24" s="11" t="s">
        <v>311</v>
      </c>
      <c r="W24" s="11" t="s">
        <v>312</v>
      </c>
      <c r="X24" s="11" t="s">
        <v>301</v>
      </c>
      <c r="Y24" s="11" t="s">
        <v>313</v>
      </c>
      <c r="Z24" s="12">
        <v>46072</v>
      </c>
      <c r="AA24" s="13">
        <v>-0.44596352265617489</v>
      </c>
      <c r="AB24" s="13">
        <v>0.42701644292272078</v>
      </c>
      <c r="AC24" s="14" t="e">
        <v>#N/A</v>
      </c>
      <c r="AD24" s="15" t="s">
        <v>219</v>
      </c>
    </row>
    <row r="25" spans="1:30" x14ac:dyDescent="0.25">
      <c r="A25" s="5">
        <v>24</v>
      </c>
      <c r="B25" s="6" t="s">
        <v>314</v>
      </c>
      <c r="C25" s="7" t="s">
        <v>315</v>
      </c>
      <c r="D25" s="7" t="s">
        <v>315</v>
      </c>
      <c r="E25" s="7" t="s">
        <v>210</v>
      </c>
      <c r="F25" s="7" t="s">
        <v>126</v>
      </c>
      <c r="G25" s="8">
        <v>352.65960000000001</v>
      </c>
      <c r="H25" s="8">
        <v>158.69682</v>
      </c>
      <c r="I25" s="8">
        <v>0</v>
      </c>
      <c r="J25" s="8">
        <v>158.69682</v>
      </c>
      <c r="K25" s="8">
        <v>0</v>
      </c>
      <c r="L25" s="9">
        <v>193.96278000000001</v>
      </c>
      <c r="M25" s="8">
        <v>52.898940000000003</v>
      </c>
      <c r="N25" s="8">
        <v>0</v>
      </c>
      <c r="O25" s="8" t="s">
        <v>306</v>
      </c>
      <c r="P25" s="10">
        <v>0.45</v>
      </c>
      <c r="Q25" s="11" t="s">
        <v>75</v>
      </c>
      <c r="R25" s="11" t="s">
        <v>316</v>
      </c>
      <c r="S25" s="11" t="s">
        <v>308</v>
      </c>
      <c r="T25" s="11" t="s">
        <v>317</v>
      </c>
      <c r="U25" s="16" t="s">
        <v>318</v>
      </c>
      <c r="V25" s="11" t="s">
        <v>319</v>
      </c>
      <c r="W25" s="11" t="s">
        <v>320</v>
      </c>
      <c r="X25" s="11" t="s">
        <v>301</v>
      </c>
      <c r="Y25" s="11" t="s">
        <v>321</v>
      </c>
      <c r="Z25" s="12">
        <v>46072</v>
      </c>
      <c r="AA25" s="13">
        <v>0.24873880506868384</v>
      </c>
      <c r="AB25" s="13">
        <v>0.67739458815242792</v>
      </c>
      <c r="AC25" s="14" t="e">
        <v>#N/A</v>
      </c>
      <c r="AD25" s="15" t="s">
        <v>219</v>
      </c>
    </row>
    <row r="26" spans="1:30" x14ac:dyDescent="0.25">
      <c r="A26" s="5">
        <v>25</v>
      </c>
      <c r="B26" s="6" t="s">
        <v>322</v>
      </c>
      <c r="C26" s="7" t="s">
        <v>323</v>
      </c>
      <c r="D26" s="7" t="s">
        <v>324</v>
      </c>
      <c r="E26" s="7" t="s">
        <v>210</v>
      </c>
      <c r="F26" s="7" t="s">
        <v>235</v>
      </c>
      <c r="G26" s="8">
        <v>1275.816245</v>
      </c>
      <c r="H26" s="8">
        <v>1073.2477387000006</v>
      </c>
      <c r="I26" s="8">
        <v>0</v>
      </c>
      <c r="J26" s="8">
        <v>1073.2477387000006</v>
      </c>
      <c r="K26" s="8">
        <v>0</v>
      </c>
      <c r="L26" s="9">
        <v>202.5685062999994</v>
      </c>
      <c r="M26" s="8">
        <v>0</v>
      </c>
      <c r="N26" s="8">
        <v>0</v>
      </c>
      <c r="O26" s="8" t="s">
        <v>306</v>
      </c>
      <c r="P26" s="10">
        <v>0.84122438705896918</v>
      </c>
      <c r="Q26" s="11" t="s">
        <v>301</v>
      </c>
      <c r="R26" s="11" t="s">
        <v>325</v>
      </c>
      <c r="S26" s="11" t="s">
        <v>214</v>
      </c>
      <c r="T26" s="11" t="s">
        <v>326</v>
      </c>
      <c r="U26" s="16" t="s">
        <v>327</v>
      </c>
      <c r="V26" s="11" t="s">
        <v>328</v>
      </c>
      <c r="W26" s="11" t="s">
        <v>329</v>
      </c>
      <c r="X26" s="11" t="s">
        <v>301</v>
      </c>
      <c r="Y26" s="11" t="s">
        <v>330</v>
      </c>
      <c r="Z26" s="12">
        <v>46072</v>
      </c>
      <c r="AA26" s="13">
        <v>0.69071178868136918</v>
      </c>
      <c r="AB26" s="13">
        <v>0.51174435922491024</v>
      </c>
      <c r="AC26" s="14" t="e">
        <v>#N/A</v>
      </c>
      <c r="AD26" s="15" t="s">
        <v>219</v>
      </c>
    </row>
    <row r="27" spans="1:30" x14ac:dyDescent="0.25">
      <c r="A27" s="5">
        <v>26</v>
      </c>
      <c r="B27" s="6" t="s">
        <v>331</v>
      </c>
      <c r="C27" s="7" t="s">
        <v>332</v>
      </c>
      <c r="D27" s="7" t="s">
        <v>332</v>
      </c>
      <c r="E27" s="7" t="s">
        <v>73</v>
      </c>
      <c r="F27" s="7" t="s">
        <v>126</v>
      </c>
      <c r="G27" s="8">
        <v>0</v>
      </c>
      <c r="H27" s="8">
        <v>0</v>
      </c>
      <c r="I27" s="8">
        <v>0</v>
      </c>
      <c r="J27" s="8">
        <v>0</v>
      </c>
      <c r="K27" s="8">
        <v>0</v>
      </c>
      <c r="L27" s="9">
        <v>0</v>
      </c>
      <c r="M27" s="8">
        <v>0</v>
      </c>
      <c r="N27" s="8">
        <v>0</v>
      </c>
      <c r="O27" s="8" t="s">
        <v>301</v>
      </c>
      <c r="P27" s="10">
        <v>0</v>
      </c>
      <c r="Q27" s="11" t="s">
        <v>301</v>
      </c>
      <c r="R27" s="11" t="s">
        <v>301</v>
      </c>
      <c r="S27" s="11" t="s">
        <v>214</v>
      </c>
      <c r="T27" s="11" t="s">
        <v>301</v>
      </c>
      <c r="U27" s="11" t="s">
        <v>301</v>
      </c>
      <c r="V27" s="11" t="s">
        <v>333</v>
      </c>
      <c r="W27" s="11" t="s">
        <v>334</v>
      </c>
      <c r="X27" s="11" t="s">
        <v>301</v>
      </c>
      <c r="Y27" s="11" t="s">
        <v>335</v>
      </c>
      <c r="Z27" s="12">
        <v>45982</v>
      </c>
      <c r="AA27" s="13" t="s">
        <v>172</v>
      </c>
      <c r="AB27" s="13" t="s">
        <v>172</v>
      </c>
      <c r="AC27" s="14" t="e">
        <v>#N/A</v>
      </c>
      <c r="AD27" s="15" t="s">
        <v>336</v>
      </c>
    </row>
    <row r="28" spans="1:30" x14ac:dyDescent="0.25">
      <c r="A28" s="5">
        <v>27</v>
      </c>
      <c r="B28" s="6" t="s">
        <v>337</v>
      </c>
      <c r="C28" s="7" t="s">
        <v>338</v>
      </c>
      <c r="D28" s="7" t="s">
        <v>338</v>
      </c>
      <c r="E28" s="7" t="s">
        <v>73</v>
      </c>
      <c r="F28" s="7" t="s">
        <v>126</v>
      </c>
      <c r="G28" s="8">
        <v>108.12905000000001</v>
      </c>
      <c r="H28" s="8">
        <v>10.812905000000001</v>
      </c>
      <c r="I28" s="8">
        <v>0</v>
      </c>
      <c r="J28" s="8">
        <v>10.812905000000001</v>
      </c>
      <c r="K28" s="8">
        <v>0</v>
      </c>
      <c r="L28" s="9">
        <v>97.316145000000006</v>
      </c>
      <c r="M28" s="8">
        <v>0</v>
      </c>
      <c r="N28" s="8">
        <v>0</v>
      </c>
      <c r="O28" s="8" t="s">
        <v>301</v>
      </c>
      <c r="P28" s="10">
        <v>0.1</v>
      </c>
      <c r="Q28" s="11" t="s">
        <v>301</v>
      </c>
      <c r="R28" s="11" t="s">
        <v>301</v>
      </c>
      <c r="S28" s="11" t="s">
        <v>214</v>
      </c>
      <c r="T28" s="11" t="s">
        <v>301</v>
      </c>
      <c r="U28" s="16" t="s">
        <v>339</v>
      </c>
      <c r="V28" s="11" t="s">
        <v>340</v>
      </c>
      <c r="W28" s="11" t="s">
        <v>341</v>
      </c>
      <c r="X28" s="11" t="s">
        <v>301</v>
      </c>
      <c r="Y28" s="11" t="s">
        <v>342</v>
      </c>
      <c r="Z28" s="12">
        <v>46066</v>
      </c>
      <c r="AA28" s="13" t="s">
        <v>172</v>
      </c>
      <c r="AB28" s="13" t="s">
        <v>172</v>
      </c>
      <c r="AC28" s="14" t="e">
        <v>#N/A</v>
      </c>
      <c r="AD28" s="15" t="s">
        <v>343</v>
      </c>
    </row>
    <row r="29" spans="1:30" x14ac:dyDescent="0.25">
      <c r="A29" s="5">
        <v>28</v>
      </c>
      <c r="B29" s="6" t="s">
        <v>344</v>
      </c>
      <c r="C29" s="7" t="s">
        <v>345</v>
      </c>
      <c r="D29" s="7" t="s">
        <v>346</v>
      </c>
      <c r="E29" s="7" t="s">
        <v>73</v>
      </c>
      <c r="F29" s="7" t="s">
        <v>87</v>
      </c>
      <c r="G29" s="8">
        <v>1640</v>
      </c>
      <c r="H29" s="8">
        <v>0</v>
      </c>
      <c r="I29" s="8">
        <v>0</v>
      </c>
      <c r="J29" s="8">
        <v>0</v>
      </c>
      <c r="K29" s="8">
        <v>0</v>
      </c>
      <c r="L29" s="9">
        <v>1640</v>
      </c>
      <c r="M29" s="8">
        <v>0</v>
      </c>
      <c r="N29" s="8">
        <v>0</v>
      </c>
      <c r="O29" s="18" t="s">
        <v>347</v>
      </c>
      <c r="P29" s="10">
        <v>0</v>
      </c>
      <c r="Q29" s="11" t="s">
        <v>348</v>
      </c>
      <c r="R29" s="11" t="s">
        <v>349</v>
      </c>
      <c r="S29" s="11" t="s">
        <v>350</v>
      </c>
      <c r="T29" s="11" t="s">
        <v>351</v>
      </c>
      <c r="U29" s="16" t="s">
        <v>352</v>
      </c>
      <c r="V29" s="11" t="s">
        <v>353</v>
      </c>
      <c r="W29" s="11" t="s">
        <v>354</v>
      </c>
      <c r="X29" s="11" t="s">
        <v>355</v>
      </c>
      <c r="Y29" s="11" t="s">
        <v>356</v>
      </c>
      <c r="Z29" s="12">
        <v>46072</v>
      </c>
      <c r="AA29" s="13" t="s">
        <v>172</v>
      </c>
      <c r="AB29" s="13" t="s">
        <v>172</v>
      </c>
      <c r="AC29" s="14" t="s">
        <v>345</v>
      </c>
      <c r="AD29" s="15" t="s">
        <v>357</v>
      </c>
    </row>
    <row r="30" spans="1:30" x14ac:dyDescent="0.25">
      <c r="A30" s="5">
        <v>29</v>
      </c>
      <c r="B30" s="7" t="s">
        <v>358</v>
      </c>
      <c r="C30" s="19" t="s">
        <v>359</v>
      </c>
      <c r="D30" s="19" t="s">
        <v>360</v>
      </c>
      <c r="E30" s="6" t="s">
        <v>32</v>
      </c>
      <c r="F30" s="7" t="s">
        <v>361</v>
      </c>
      <c r="G30" s="8">
        <v>809.07864406779663</v>
      </c>
      <c r="H30" s="8">
        <v>248.64224120000006</v>
      </c>
      <c r="I30" s="8">
        <v>4</v>
      </c>
      <c r="J30" s="8">
        <v>252.64224120000006</v>
      </c>
      <c r="K30" s="8">
        <v>38</v>
      </c>
      <c r="L30" s="9">
        <v>560.43640286779657</v>
      </c>
      <c r="M30" s="8">
        <v>128.72017390000008</v>
      </c>
      <c r="N30" s="8">
        <v>-3.9563942999999999</v>
      </c>
      <c r="O30" s="8" t="s">
        <v>102</v>
      </c>
      <c r="P30" s="10">
        <v>0.30731529378887562</v>
      </c>
      <c r="Q30" s="11" t="s">
        <v>35</v>
      </c>
      <c r="R30" s="11" t="s">
        <v>362</v>
      </c>
      <c r="S30" s="11" t="e">
        <v>#N/A</v>
      </c>
      <c r="T30" s="11" t="s">
        <v>363</v>
      </c>
      <c r="U30" s="16" t="s">
        <v>364</v>
      </c>
      <c r="V30" s="11" t="s">
        <v>404</v>
      </c>
      <c r="W30" s="11" t="s">
        <v>404</v>
      </c>
      <c r="X30" s="11" t="s">
        <v>301</v>
      </c>
      <c r="Y30" s="11" t="s">
        <v>404</v>
      </c>
      <c r="Z30" s="12">
        <v>0</v>
      </c>
      <c r="AA30" s="13">
        <v>0.25016494967847702</v>
      </c>
      <c r="AB30" s="13">
        <v>0.53564420356445086</v>
      </c>
      <c r="AC30" s="14" t="s">
        <v>359</v>
      </c>
      <c r="AD30" s="15" t="s">
        <v>365</v>
      </c>
    </row>
    <row r="31" spans="1:30" x14ac:dyDescent="0.25">
      <c r="A31" s="5">
        <v>30</v>
      </c>
      <c r="B31" s="7" t="s">
        <v>366</v>
      </c>
      <c r="C31" s="19" t="s">
        <v>367</v>
      </c>
      <c r="D31" s="19" t="s">
        <v>368</v>
      </c>
      <c r="E31" s="6" t="s">
        <v>73</v>
      </c>
      <c r="F31" s="7" t="s">
        <v>126</v>
      </c>
      <c r="G31" s="8">
        <v>643.5</v>
      </c>
      <c r="H31" s="8">
        <v>0</v>
      </c>
      <c r="I31" s="8">
        <v>0</v>
      </c>
      <c r="J31" s="8">
        <v>0</v>
      </c>
      <c r="K31" s="8">
        <v>0</v>
      </c>
      <c r="L31" s="9">
        <v>643.5</v>
      </c>
      <c r="M31" s="8">
        <v>0</v>
      </c>
      <c r="N31" s="8">
        <v>0</v>
      </c>
      <c r="O31" s="8" t="s">
        <v>369</v>
      </c>
      <c r="P31" s="10">
        <v>0</v>
      </c>
      <c r="Q31" s="16" t="s">
        <v>370</v>
      </c>
      <c r="R31" s="11" t="s">
        <v>371</v>
      </c>
      <c r="S31" s="11" t="s">
        <v>166</v>
      </c>
      <c r="T31" s="11" t="s">
        <v>372</v>
      </c>
      <c r="U31" s="16" t="s">
        <v>373</v>
      </c>
      <c r="V31" s="11" t="s">
        <v>374</v>
      </c>
      <c r="W31" s="11" t="s">
        <v>375</v>
      </c>
      <c r="X31" s="11" t="s">
        <v>301</v>
      </c>
      <c r="Y31" s="11" t="s">
        <v>376</v>
      </c>
      <c r="Z31" s="12">
        <v>46072</v>
      </c>
      <c r="AA31" s="13" t="s">
        <v>172</v>
      </c>
      <c r="AB31" s="13" t="s">
        <v>172</v>
      </c>
      <c r="AC31" s="14" t="s">
        <v>367</v>
      </c>
      <c r="AD31" s="15" t="s">
        <v>173</v>
      </c>
    </row>
    <row r="32" spans="1:30" x14ac:dyDescent="0.25">
      <c r="A32" s="5">
        <v>31</v>
      </c>
      <c r="B32" s="7" t="s">
        <v>377</v>
      </c>
      <c r="C32" s="19" t="s">
        <v>378</v>
      </c>
      <c r="D32" s="19" t="s">
        <v>379</v>
      </c>
      <c r="E32" s="6" t="s">
        <v>73</v>
      </c>
      <c r="F32" s="7" t="s">
        <v>126</v>
      </c>
      <c r="G32" s="8">
        <v>96.595439999999996</v>
      </c>
      <c r="H32" s="8">
        <v>0</v>
      </c>
      <c r="I32" s="8">
        <v>0</v>
      </c>
      <c r="J32" s="8">
        <v>0</v>
      </c>
      <c r="K32" s="8">
        <v>0</v>
      </c>
      <c r="L32" s="9">
        <v>96.595439999999996</v>
      </c>
      <c r="M32" s="8">
        <v>0</v>
      </c>
      <c r="N32" s="8">
        <v>0</v>
      </c>
      <c r="O32" s="8" t="s">
        <v>380</v>
      </c>
      <c r="P32" s="10">
        <v>0</v>
      </c>
      <c r="Q32" s="11" t="s">
        <v>301</v>
      </c>
      <c r="R32" s="11" t="s">
        <v>381</v>
      </c>
      <c r="S32" s="11" t="s">
        <v>214</v>
      </c>
      <c r="T32" s="11" t="s">
        <v>301</v>
      </c>
      <c r="U32" s="16" t="s">
        <v>382</v>
      </c>
      <c r="V32" s="11" t="s">
        <v>383</v>
      </c>
      <c r="W32" s="11" t="s">
        <v>384</v>
      </c>
      <c r="X32" s="11" t="s">
        <v>301</v>
      </c>
      <c r="Y32" s="11" t="s">
        <v>385</v>
      </c>
      <c r="Z32" s="12">
        <v>46066</v>
      </c>
      <c r="AA32" s="13" t="s">
        <v>172</v>
      </c>
      <c r="AB32" s="13" t="s">
        <v>172</v>
      </c>
      <c r="AC32" s="14" t="s">
        <v>378</v>
      </c>
      <c r="AD32" s="15" t="s">
        <v>291</v>
      </c>
    </row>
    <row r="33" spans="1:30" x14ac:dyDescent="0.25">
      <c r="A33" s="5">
        <v>32</v>
      </c>
      <c r="B33" s="7" t="s">
        <v>386</v>
      </c>
      <c r="C33" s="19" t="s">
        <v>387</v>
      </c>
      <c r="D33" s="19" t="s">
        <v>388</v>
      </c>
      <c r="E33" s="6" t="s">
        <v>32</v>
      </c>
      <c r="F33" s="7" t="s">
        <v>235</v>
      </c>
      <c r="G33" s="8">
        <v>35.1</v>
      </c>
      <c r="H33" s="8">
        <v>0</v>
      </c>
      <c r="I33" s="8">
        <v>0</v>
      </c>
      <c r="J33" s="8">
        <v>0</v>
      </c>
      <c r="K33" s="8">
        <v>0</v>
      </c>
      <c r="L33" s="9">
        <v>35.1</v>
      </c>
      <c r="M33" s="8">
        <v>0</v>
      </c>
      <c r="N33" s="8">
        <v>0</v>
      </c>
      <c r="O33" s="8" t="s">
        <v>389</v>
      </c>
      <c r="P33" s="10">
        <v>0</v>
      </c>
      <c r="Q33" s="11" t="s">
        <v>164</v>
      </c>
      <c r="R33" s="11" t="s">
        <v>390</v>
      </c>
      <c r="S33" s="11" t="s">
        <v>391</v>
      </c>
      <c r="T33" s="11" t="s">
        <v>301</v>
      </c>
      <c r="U33" s="16" t="s">
        <v>392</v>
      </c>
      <c r="V33" s="11" t="s">
        <v>393</v>
      </c>
      <c r="W33" s="11" t="s">
        <v>393</v>
      </c>
      <c r="X33" s="11" t="s">
        <v>301</v>
      </c>
      <c r="Y33" s="11" t="s">
        <v>393</v>
      </c>
      <c r="Z33" s="12">
        <v>46072</v>
      </c>
      <c r="AA33" s="13" t="s">
        <v>172</v>
      </c>
      <c r="AB33" s="13" t="s">
        <v>172</v>
      </c>
      <c r="AC33" s="14" t="s">
        <v>387</v>
      </c>
      <c r="AD33" s="15" t="s">
        <v>245</v>
      </c>
    </row>
    <row r="34" spans="1:30" x14ac:dyDescent="0.25">
      <c r="A34" s="20">
        <v>33</v>
      </c>
      <c r="B34" s="21" t="s">
        <v>394</v>
      </c>
      <c r="C34" s="22" t="s">
        <v>395</v>
      </c>
      <c r="D34" s="22" t="s">
        <v>394</v>
      </c>
      <c r="E34" s="23" t="s">
        <v>73</v>
      </c>
      <c r="F34" s="21" t="s">
        <v>126</v>
      </c>
      <c r="G34" s="24">
        <v>417.48581000000001</v>
      </c>
      <c r="H34" s="24">
        <v>0</v>
      </c>
      <c r="I34" s="24">
        <v>0</v>
      </c>
      <c r="J34" s="24">
        <v>0</v>
      </c>
      <c r="K34" s="24">
        <v>0</v>
      </c>
      <c r="L34" s="25">
        <v>417.48581000000001</v>
      </c>
      <c r="M34" s="24">
        <v>0</v>
      </c>
      <c r="N34" s="24">
        <v>0</v>
      </c>
      <c r="O34" s="24" t="s">
        <v>396</v>
      </c>
      <c r="P34" s="26">
        <v>0</v>
      </c>
      <c r="Q34" s="27" t="s">
        <v>301</v>
      </c>
      <c r="R34" s="27" t="s">
        <v>397</v>
      </c>
      <c r="S34" s="27" t="s">
        <v>398</v>
      </c>
      <c r="T34" s="27" t="s">
        <v>301</v>
      </c>
      <c r="U34" s="28" t="s">
        <v>399</v>
      </c>
      <c r="V34" s="27" t="s">
        <v>400</v>
      </c>
      <c r="W34" s="27" t="s">
        <v>401</v>
      </c>
      <c r="X34" s="27" t="s">
        <v>301</v>
      </c>
      <c r="Y34" s="27" t="s">
        <v>402</v>
      </c>
      <c r="Z34" s="29">
        <v>46073</v>
      </c>
      <c r="AA34" s="30" t="s">
        <v>172</v>
      </c>
      <c r="AB34" s="30" t="s">
        <v>172</v>
      </c>
      <c r="AC34" s="31" t="s">
        <v>395</v>
      </c>
      <c r="AD34" s="32"/>
    </row>
  </sheetData>
  <conditionalFormatting sqref="P2:R34 T2:Y34">
    <cfRule type="dataBar" priority="1">
      <dataBar>
        <cfvo type="num" val="0"/>
        <cfvo type="num" val="1"/>
        <color rgb="FF008AEF"/>
      </dataBar>
      <extLst>
        <ext xmlns:x14="http://schemas.microsoft.com/office/spreadsheetml/2009/9/main" uri="{B025F937-C7B1-47D3-B67F-A62EFF666E3E}">
          <x14:id>{25D50775-5C0F-4604-A806-6DFADAFDA1B5}</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25D50775-5C0F-4604-A806-6DFADAFDA1B5}">
            <x14:dataBar minLength="0" maxLength="100" border="1" negativeBarBorderColorSameAsPositive="0">
              <x14:cfvo type="num">
                <xm:f>0</xm:f>
              </x14:cfvo>
              <x14:cfvo type="num">
                <xm:f>1</xm:f>
              </x14:cfvo>
              <x14:borderColor rgb="FF008AEF"/>
              <x14:negativeFillColor rgb="FFFF0000"/>
              <x14:negativeBorderColor rgb="FFFF0000"/>
              <x14:axisColor rgb="FF000000"/>
            </x14:dataBar>
          </x14:cfRule>
          <xm:sqref>P2:R34 T2:Y34</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Data_summary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AVDHOOT RAO</dc:creator>
  <cp:lastModifiedBy>AVDHOOT RAO</cp:lastModifiedBy>
  <dcterms:created xsi:type="dcterms:W3CDTF">2026-02-20T06:47:56Z</dcterms:created>
  <dcterms:modified xsi:type="dcterms:W3CDTF">2026-02-20T06:47:58Z</dcterms:modified>
</cp:coreProperties>
</file>