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2E37EEE4-3CD0-4F18-8BBA-61B8DA51F4E4}" xr6:coauthVersionLast="47" xr6:coauthVersionMax="47" xr10:uidLastSave="{00000000-0000-0000-0000-000000000000}"/>
  <bookViews>
    <workbookView xWindow="-120" yWindow="-120" windowWidth="20730" windowHeight="11040" xr2:uid="{6394FB88-C0FB-4B40-97AF-7920A23F8A49}"/>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<sst xmlns="http://schemas.openxmlformats.org/spreadsheetml/2006/main" count="508" uniqueCount="352">
  <si>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</si>
  <si>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</si>
  <si>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</si>
  <si>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</si>
  <si>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</si>
  <si>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</si>
  <si>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</si>
  <si>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</si>
  <si>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</si>
  <si>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</si>
  <si>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</si>
  <si>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</si>
  <si>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</si>
  <si>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</si>
  <si>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</si>
  <si>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</si>
  <si>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</si>
  <si>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</si>
  <si>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</si>
  <si>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</si>
  <si>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</si>
  <si>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</si>
  <si>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</si>
  <si>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</si>
  <si>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</si>
  <si>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</si>
  <si>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</si>
  <si>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</si>
  <si>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</si>
  <si>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</si>
  <si>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</si>
  <si>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</si>
  <si>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</si>
  <si>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</si>
  <si>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</si>
  <si>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</si>
  <si>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</si>
  <si>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</si>
  <si>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</si>
  <si>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</si>
  <si>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14
  2.      Estimation   =   10
  3.     Designing    =    10
  4.     To Do        =    16
  5.     In Progress  =    9
  6.     Under QA Testing = 2
  7.     User Acceptance Testing (UAT) = 22
  8.     Released on Production = 292
  9.     Closed       = 131</t>
  </si>
  <si>
    <t>2 task planned to deploy</t>
  </si>
  <si>
    <t>HTML,CSS,React,java, spring boot,Elastic,mysql AWS,Postman,Jenkins,CI/CD,Kibana,GIT,Docker</t>
  </si>
  <si>
    <t>1) Need one frontend(Replacement of jayshree last working day was 22/12/2025),
   Two interview done but rejected
2) 4 Months payment pending.
3)Bill submitted upto Dec.</t>
  </si>
  <si>
    <t>Amit K</t>
  </si>
  <si>
    <t>SBM-U</t>
  </si>
  <si>
    <t>SWACHH BHARAT MISSION - SBM URBAN</t>
  </si>
  <si>
    <t>SWACHH BHARAT MISSION - SBM</t>
  </si>
  <si>
    <t>Start Date (PO) : 10-Jan-24 :: End Date (PO) : 09-Jan-27</t>
  </si>
  <si>
    <t>27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</si>
  <si>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</si>
  <si>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</si>
  <si>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1. 27 resources on-boarded. (16 resources from GAIA – 11 from CMS)
2. Payment expected for invoice of Nov’25 in this week.
3. DWR mobile app (android) published on Play Store.
4. New SBM Dashboard ver2.0 (SWM, Legacy waste &amp; Toilets): Demo done to DS, plan to show to JS in this week. 
5. DRAP Action plan (Micro)- Integration done, showed to DS, further changes will be done post approval from JS.
6. GFC Indicator logic implemented in DB and changes Ongoing in UI side.
7. Swachhata Engineer App: re-verification to be done by CERT-IN for 2 open points.
8. Swachhatam portal: ESRI team to fix 1 issue reported  in CERT-in audit.
9. Website updates ongoing: Trash Tales, Banner Updated.
10. SS tool kit released for 2025-26. Demo done with team.
11. Swachh City : Development ongoing for Home Page, FORGOT / PWD change.
12. Working on Toilet based form and discussed points with WASHi team for further revamping.
13. Swachhata Citizen App &amp; whatsapp integration</t>
  </si>
  <si>
    <t xml:space="preserve">1. SS Handover : Mobile Apps – GT, DO, VFC,F2F developed/modified and tested.
2. Swachh City: working on new designs for register, login, forgot password.
3. Closure of Cert-In audit findings for Swachhatam Portal &amp; Swachhata Citizen App etc.
4. Working on Factsheet (National, State, ULB Level)
5. Swachhata Citizen App &amp; whatsapp integration
</t>
  </si>
  <si>
    <t>Angular, AWS Cloud, mySQl, Posgresql, NodeJS, Java, MongoDB, RESTAPI, HTML, PHP, MicroService, Quicksight,CSS, Flutter</t>
  </si>
  <si>
    <t>1. Majority of team members working remotely.</t>
  </si>
  <si>
    <t>Anoop K</t>
  </si>
  <si>
    <t>ORGI</t>
  </si>
  <si>
    <t>orgi OFFICE OF REGISTRAR GENERAL OF INDIA - CRS</t>
  </si>
  <si>
    <t>OFFICE OF REGISTRAR GENERAL OF INDIA - CRS</t>
  </si>
  <si>
    <t>2 Years</t>
  </si>
  <si>
    <t>Start Date (PO) : 02-Apr-24 :: End Date (PO) : 01-Apr-26</t>
  </si>
  <si>
    <t>25</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</si>
  <si>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</si>
  <si>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</si>
  <si>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25 Resource deployed.
2. Oracle Interactive Analytics Dashboard for Birth &amp; Death Statistics with dynamic charts, KPIs, and visual data insights.
3. iOAS and Android App
4. State onboard is on going.
5. Receive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</si>
  <si>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 xml:space="preserve">June ,Aug and Payment under process from FO.
Oct Payment approval Pending
Nov document and Attendance verification under processing.
Delhi Contonment Board onboarding
API end points updated to pull data from non-on boarding states
Birth &amp; Death Register- Bilingual Labels
Provision for deactivation of Sub-Registrar
Certificate Cancellation Report
Old Death GP registration
UIDAI deasesed API encreption
Death Aadhar Data sharing with UIDAI
</t>
  </si>
  <si>
    <t>Node JS, Android, iOS, ORACLE database , REST, API design, HTML, CSS, JavaScript, JSON, IIS/ Apache, Linux, Aadhaar Vault, NSDL PayGov, C-DAC</t>
  </si>
  <si>
    <t>0 Year ending problems 
1.Oracle Old Patch Updation
2 Telengana State Onboarding on CRS Portal- 4 District in One Corporation
2.ADD new mountpoint in DMS server.
3 RU &amp; Jurisdiction Mapping Phase 4: Functionality for Merging and Splitting of RU Units
4. Verificatio for Navdeep Rana is pending.</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</si>
  <si>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</si>
  <si>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</si>
  <si>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</si>
  <si>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</si>
  <si>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</si>
  <si>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</si>
  <si>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</si>
  <si>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</si>
  <si>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</si>
  <si>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</si>
  <si>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</si>
  <si>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Approval received on October Attendance
Approval sent with same format for Nov
Bulk upload external VAPT submitted
Collection of report for SLA document
Closed all pointers which were raised for additionally in Refund Case</t>
  </si>
  <si>
    <t>Getting approval on Nov Attendance
Close external VAPT for bulk upload 
Sent report to WZU required for SLA document.
Make Refund live for all ports</t>
  </si>
  <si>
    <t>Java Struts, For upgrade - TBD</t>
  </si>
  <si>
    <t xml:space="preserve">Tally attendance with multiple portals. 
Refund phase 2 is expecting before 31st Dec and this is not possible.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</si>
  <si>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</si>
  <si>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</si>
  <si>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</si>
  <si>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</si>
  <si>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</si>
  <si>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</si>
  <si>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</si>
  <si>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</si>
  <si>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</si>
  <si>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F&amp;A UAT points are in progress. Tally to Odoo data migration has been completed. Date validation is in progress. As per the information received, data up to June has been verified. Production issues are in progress, and stabilization is also in progress.</t>
  </si>
  <si>
    <t>F&amp;A UAT is in progress, and production issues are being addressed.</t>
  </si>
  <si>
    <t>Spring Boot, Odoo, React JS, Apache, PostgreSQL, Postman, Moodle, Figma, Ubuntu, AWS Cloud, Flutter, React, Node JS</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</si>
  <si>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</si>
  <si>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</si>
  <si>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</si>
  <si>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</si>
  <si>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</si>
  <si>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</si>
  <si>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</si>
  <si>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</si>
  <si>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52</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</si>
  <si>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</si>
  <si>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</si>
  <si>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Json API Setu for Road Closure
- Requirement gathering done for
On boarding Physical and Financial Progress, Issuance of NCR, Rectification of Blackspots, Drone Video Report, NSV Surveys/Priority Maintenance, User fees agency, Payment to AE/IE, Digitalization of Schedule H, CO Division (Onboarding, Toll Master), Road Accident Monitoring and Reduction API, Onboarding O &amp; M Agency and Other Agency, BICRS ATR Enhancement
- Requirement gathering in progress for
LAC-1 (Alignment Approval), 3H Paymnent for Land Acquisition - API, LAC- 2 (Plan approval), Utility Shifting, Critical Issues and Actions, Outstanding Payments
- Module development in progress on
Issuance of NCR
Payment to AE/IE
NHIDCL and MoRTH
NSV Surveys/Priority Maintance
BICRS ATR
Drone Video Report
- Enhancements
RSA feedbacks
Merge Contracts
Road Closure Enhancement</t>
  </si>
  <si>
    <t>→ Development of Issuance of NCR, Payment to AE/Issuance, NSV Surveys/Priority Maintance, BICRS ATR
→ Deployment of NHIDCL and MoRTH
→ Design finalisation Blackspot, Physical and Financial Progress, Contractor payment</t>
  </si>
  <si>
    <t>No-SQL, Ruby, Python, Java, HTML, CSS, JavaScript, Angular, React, GIS/ML, Cloud - TBD, Node JS, Rest API</t>
  </si>
  <si>
    <t>→ Phase II timelines are quite tight considering the workload and late onboarding of additional resources.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</si>
  <si>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</si>
  <si>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</si>
  <si>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</si>
  <si>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</si>
  <si>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</si>
  <si>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</si>
  <si>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</si>
  <si>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</si>
  <si>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1] Krishi Mapper :
A. Survey count Dashboard : table view API done for 7-8 scheme....changes/feedback shows to the client
B. Assign Target : Deployed on production for all the schemes  : 
c. Multi selection subdistrict surveyor : NF scheme testing is in progress
d. State APIs :Puducheery nmeo-os/Soil health card/other scheme APIs consumption in progress
e. Seed Village programme : in testing phase
f. Assign Target : in Dashboard login : API is in progress : progress shows to the client
2] Natural Farming:
A. API to integrate with KM/soil health/ICAR
3] Krishi Unnati : Project deliver for testing to the division : some feedback given : it is in progess</t>
  </si>
  <si>
    <t>1] Krishi Mapper:
A. Survey count Dashboard : table view
B. Multi selection of scheme : user management +APP
C. Krishi Mapper 2.0 : Database structure discussion and development start</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</si>
  <si>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</si>
  <si>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</si>
  <si>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</si>
  <si>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</si>
  <si>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</si>
  <si>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</si>
  <si>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</si>
  <si>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</si>
  <si>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31</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</si>
  <si>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</si>
  <si>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</si>
  <si>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Data Prepared and bill submit to consultant for Calculation. (submitted on 24th Nov.)
31 Manpower deployed as per client requirements.(2 Manpower interview scheduled)
ISO Certification Documents parts ready some parts are pending to client end for Audit.(Letter submitted)
IT Equipment like server switch and San storage AMC not start yet.(this is very critical)-Pending from HO.
1st floor 20 No's Ac AMC not done from HO and Purchase team.</t>
  </si>
  <si>
    <t>Q.4 and Capex 2% and Diesel consumable bill submit to client for SLA calculation follow-up and push for payment.-Bill hold due to SAN storage issue.
Videowall repaired on 28th Nov. bill submitted to Insurance team for payment
Q.4 PM activity and breakdown issues resolve as per requirement.
Some Vendor Payment not received details are submitted on email to HO team.
IT equipment for AMC vendor visit at site for check all devices. but there is no conclusion yet.
Letter submit to client for ISO certificate.
Bill calculation done from consultant and submit to client for payment but held due SAN storage issue.
2 Manpower required for API developer-Pending from HR  &amp; UI/UX-done</t>
  </si>
  <si>
    <t>NA</t>
  </si>
  <si>
    <t>AMC REQUIRED OLD DC INFRA ON URGENT BASIS because our SAN storage and tape library not working , client is issuing a letter for this.
For ISO CERTIFICATION PUSH TO Client FROM OUR SALES TEAM.-Letter submit to client for help to close ISO.
1st floor 20 No's Ac AMC not done from HO and Purchase team.
SAN Storage issue is very critical ,our Q4 Bill held due to this reason.
Third party manpower salary not come on timely.-Vendor invoice submit to HR.</t>
  </si>
  <si>
    <t>Sachin S</t>
  </si>
  <si>
    <t>Kanpur SC O&amp;M</t>
  </si>
  <si>
    <t>Kanpur SC O&amp;M tech mahindra TECHM</t>
  </si>
  <si>
    <t>42 month</t>
  </si>
  <si>
    <t>Start Date (PO) : 01-Jan-23 :: End Date (PO) : 25-Jun-26</t>
  </si>
  <si>
    <t>45</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</si>
  <si>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</si>
  <si>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</si>
  <si>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Sept25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AMJ25 Qtr amounting to INR 3,813 Lacs</t>
  </si>
  <si>
    <t>1) Survey of sites for dismantling instructed in the route of Setu Nigam project
2) Smart Parking site activation at Sahara India.
3) VMSB issue resolution to make it live
4) Speed Calibration for ITMS SVD
5) Coordination with Tech-M for Metro Inventory consolidation
6) Reimbursement of recurring charges from Tech-M
7) Release of 25% retention/withheld amount
8) Coordination with vendor Videonetics for UAT towards their implemented application as per the requirement of the client.
9) Follow-up with purchase on procurement of batteries, smart parking sensors, gateways, anteenas, Nova-star, ladder.
10) Deployment of smart parking sensors at sites that can be completed as per the existing quantity of sensors.
11) Inventory Consolidation
12) Managing logistic to warehouse of dismantled material at Company Baugh site from Metro
13) ATCS -23 junctions expedition for making it operational  
14) Material management for ITMS
15) ITMS work expedition of down or partially down sites to make it live
16)  Troubleshooting of Videonetics ITMS application.
17) Replacement of batteries at D.C on priority.
18) To conduct the stock of UPS at the field sites alongwith Junction boxes for new battery installation.</t>
  </si>
  <si>
    <t>1) Inactions from Videonetics towards correction in speed calibration of Speed Violation Detection and client is pressurizing on endorsing on challans that the system is erroneous. 
2) Client’s requirement of UAT report towards Videonetics application implemented from CMS if not complied shall face impediment from client while the project closure.
3) Further client wants Videonetics team to be onsite for solving all the issues causing the downtime of their applications.
4) Delivery of Batteries if prolonged the client has already indicated that the purchase shall be effected from their side and recovered from receivables of CMS . 
5)VMSB devices facing recurring problems (dark spots, black lines, component failures).Smart Parking sensors &amp; VMSB card-related issues.
6) ATCS 23 junction activity work has suffered due to vendor M/s SPIT inactions in expediting works
7) DR/DC – The OEM ESDS services has expired in Dec’24 and has been disabled.  
8)Client’s requirement of inventory list.
9) Trade Licenses renewal
10) Smart parking affected due to unavailability of sensors, and has irrated the client and may pose the penalty</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</si>
  <si>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</si>
  <si>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</si>
  <si>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</si>
  <si>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</si>
  <si>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</si>
  <si>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</si>
  <si>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</si>
  <si>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</si>
  <si>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</si>
  <si>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Cruise gate and kk gate installation is completed and payment has been already processed by NMPA
Following up with NMPA for CAMC payment</t>
  </si>
  <si>
    <t>Following up with NMPA for CAMC payment</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</si>
  <si>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</si>
  <si>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</si>
  <si>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</si>
  <si>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</si>
  <si>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</si>
  <si>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</si>
  <si>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</si>
  <si>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</si>
  <si>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</si>
  <si>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Under O &amp; M</t>
  </si>
  <si>
    <t xml:space="preserve">O &amp; M activity </t>
  </si>
  <si>
    <t xml:space="preserve">10 No of DC CDT under purchase.
ATCS AV mode count down feature required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</si>
  <si>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</si>
  <si>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</si>
  <si>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</si>
  <si>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</si>
  <si>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</si>
  <si>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</si>
  <si>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</si>
  <si>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under O &amp; M </t>
  </si>
  <si>
    <t xml:space="preserve">Under O &amp; M </t>
  </si>
  <si>
    <t xml:space="preserve">5 no VMD module under purchase
17 no of UCON controller need to change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</si>
  <si>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</si>
  <si>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</si>
  <si>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</si>
  <si>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</si>
  <si>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</si>
  <si>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</si>
  <si>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</si>
  <si>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</si>
  <si>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 xml:space="preserve">1. BRTS affected Traffic aspect removal work completed. Pole and foundation removal work in progress.
</t>
  </si>
  <si>
    <t xml:space="preserve">1. New alignment of Pole with Civil work survey in progress for BRTS and rest junction/ locations.
2. Payment note sheets follow-ups.  </t>
  </si>
  <si>
    <t>1. Required civil and ITMS component delivery confirmation awaited from Purchase department as per shared list.
2. No confirmation/delivery date receiving after multiple follow-ups from Purchase department.</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</si>
  <si>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</si>
  <si>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</si>
  <si>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</si>
  <si>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</si>
  <si>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</si>
  <si>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</si>
  <si>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</si>
  <si>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</si>
  <si>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</si>
  <si>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HRMS, SM, MM, and FA bug fixing and enhancements.
Payroll execution for rest of months is going on.</t>
  </si>
  <si>
    <t xml:space="preserve">Planning to schedule a meeting with end-user to test use cases.
Migration of website
</t>
  </si>
  <si>
    <t>Core Java, BIRD tool, postgre, ESDS cloud</t>
  </si>
  <si>
    <t>Migration of website has challenges.</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</si>
  <si>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</si>
  <si>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</si>
  <si>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</si>
  <si>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</si>
  <si>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</si>
  <si>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</si>
  <si>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</si>
  <si>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</si>
  <si>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</si>
  <si>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2. PA: 20/20 Pairs PA installation done and cable laying and connection done for 15 locations.
3. VMD: 7/10 Nos. VMD foundation done and 6 Nos. VMD installation done. 2 VMD online temporary basis. 
4. ECB: 20/20 Nos. ECB enclosure foundation &amp; installation done. 20 Nos. cable laying and back filling done. 20 Nos. ECB installation done and power on. 8 Nos. ECB online
5. 2 No. EVS power on.
6. All materials delivered at site as per PO Qty.
7. 99% billing done.
9. 3/10 VMD foundation still pending. Planning form this week, 
10. Cable laying, connection, configuration and commissioning pending for VMD.
11. ECB/PA, EVS, VMD and GIS applications installed in servers.
</t>
  </si>
  <si>
    <t xml:space="preserve">1. ECB &amp; EVS commissioning. 
2. 3 Nos. VMD foundation. 
</t>
  </si>
  <si>
    <t xml:space="preserve">1. VMD controller received but sending card not available with controller. The sending card not considered earlier by designed team. Now without sending card VMD controller will not work. It is very critical. We have arranged TB-30 Controller for this solution. Need to check how it is work.
2. VMD foundation work stopped by Bonsai. VMD installation vendor (Bonsai) SOW issue and payment issue. Need to be closed immediately. After discussion with me, Santosh Sir and Vaibhav Sir over the phone with Mr. Deepak Pathak, Bonsai still not supplied any accessories as per SOW for VMD installation work. Need to complete discussion with Bonsai and CMS stakeholders. 10 Nos. VMD poles supply payment done. Bonsai Not supporting to us. Now very critical situation.
5. Cable laying work for VMD is not yet started. The Bonsai not showing interest to work. Now it is very critical.
</t>
  </si>
  <si>
    <t>Arindam R</t>
  </si>
  <si>
    <t>MCS - L&amp;T</t>
  </si>
  <si>
    <t xml:space="preserve">Mumbai city surveillance larsen and toubro mcs </t>
  </si>
  <si>
    <t>Mumbai City Surveillance</t>
  </si>
  <si>
    <t>6 months</t>
  </si>
  <si>
    <t>Start Date (PO) : 01-Mar-25 :: End Date (PO) : 31-Aug-25</t>
  </si>
  <si>
    <t>220</t>
  </si>
  <si>
    <t>72.86 L</t>
  </si>
  <si>
    <t>Viewing Manpower in 4 shifts including backup to cover 203 shifts daily.</t>
  </si>
  <si>
    <t>2 candidates selected and they are working on Documentation
Lineup 5 Candidates for Interview for this week
3 Months work Order received
3 Months Invoices raised in SAP and submitted to customer</t>
  </si>
  <si>
    <t>Daily 2 candidates Interview for this week
Follow-up on New Work Order for next 3 months</t>
  </si>
  <si>
    <t>Recruitment of 20 Candidates.
New Work Order for extension period (Next 3 months)</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</si>
  <si>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</si>
  <si>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</si>
  <si>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</si>
  <si>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</si>
  <si>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</si>
  <si>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</si>
  <si>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</si>
  <si>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</si>
  <si>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</si>
  <si>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</si>
  <si>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Servers: Primary &amp; backup servers fully configured and operational in NOC; no pending issues.
Substations 1–3 (MFM): Network ready; awaiting switch installation and port enablement by JNPA vendor. Data integration to follow in 2–3 days post readiness.
Main Substation (MFM): Communication established; API support from SCADA (GE) vendor awaited for EEMS integration.
ABT Meters: Installed; series connection and switch port availability pending. MSETCL response awaited.
RMU Meters: Survey completed; OFC and switch readiness awaited from JNPA vendor.
Water Meters: 62 delivered, 5 installed. Further installations pending infrastructure readiness and finalization of larger meter locations.
Consumer Billing Meters: MPLS link established; testing in progress. SIM activation and modem installation to follow.
Cloud &amp; Software: AWS registered; software deployed with all modules integrated. Enhancements will be addressed as live data starts.</t>
  </si>
  <si>
    <t xml:space="preserve">MPLS link setup and sim testing </t>
  </si>
  <si>
    <t>PostgreSQL, DLMS, MODBUS, GPRS, Python, DotNet MVC</t>
  </si>
  <si>
    <t xml:space="preserve">Delay in network switch and port availability from JNPA vendors affecting meter communication.
API dependency on SCADA (GE) vendor for Main Substation data integration.
Pending response from MSETCL for ABT meter series connection approval/testing.
MPLS link stabilization and testing still in progress for consumer billing meters.
Water meter installation dependency on readiness of valves, ducts, power, and final location approvals.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</si>
  <si>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</si>
  <si>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</si>
  <si>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</si>
  <si>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</si>
  <si>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</si>
  <si>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</si>
  <si>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</si>
  <si>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</si>
  <si>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</si>
  <si>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</si>
  <si>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Second Phase development Complete.
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approval workflows.
18.	Girder Fabrication &amp; Raw Material Approval Process – Partially completed; remaining integration and approval flow under development.
19. WPQR Preparation &amp; Submission (Welding Procedure Qualification Record) – Partially completed; submission and approval components in progress.
20. Layout, Master Plates, Jigs, Joints &amp; Fixtures – Inspection Request – Partially completed; inspection request generation and workflow integration ongoing.
21. Cutting, Straightening &amp; Edge Preparation – Inspection Request – Partially completed; validation and backend service linkage under progress.</t>
  </si>
  <si>
    <t>During the NHAI demonstration to Member Sir, it was decided that the workshop will be scheduled on 02 January 2025 on the production server, and the portal will be officially launched on or before 06 January 2025.</t>
  </si>
  <si>
    <t>JAVA 17, Springboot, PostgreSql, React, AWS Cloud, Microservices, NodeJS, Postman, Apache Tomcat webserver, SSL, Oauth, AWS ECS</t>
  </si>
  <si>
    <t>Cntinuous changes in PRD and Figma designs, development work is in progress.</t>
  </si>
  <si>
    <t>DIC NOC</t>
  </si>
  <si>
    <t>DIGITAL INDIA CORP - NOC</t>
  </si>
  <si>
    <t>9 months + O&amp;M</t>
  </si>
  <si>
    <t>Start Date (PO) : 03-Jul-25 :: End Date (PO) : 02-Jan-27</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</si>
  <si>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</si>
  <si>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 xml:space="preserve">Change Implementation as per Secretary Sir.
Security Bug Fixing on Web
Security Bug Fixing on Mobile
</t>
  </si>
  <si>
    <t>Security Bug Fixing 
Production Environment Setup,
Bharat Net implementation.</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</si>
  <si>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</si>
  <si>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</si>
  <si>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</si>
  <si>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</si>
  <si>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</si>
  <si>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</si>
  <si>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8</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</si>
  <si>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</si>
  <si>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</si>
  <si>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 Vanshika Thakral (Frontend Developer) will join us on 31-12-2025
- The stall digitization layouts received for Ahaar Fair 2026 have been completed. Additional layouts received on 30-12-2025 are currently under digitization.
- Ezypay payment gateway integration for Ahaar Fair 2026 has been completed. Integration of the Razorpay payment gateway is now in progress as a backup option.
- Completed cluster and vending point digitization for New Delhi World Book Fair 2026 and Nakshatra &amp; Arogyam Fair 2026, with successful payment gateway integration.
- Staging testing for New Delhi World Book Fair 2026 and Nakshatra &amp; Arogyam Fair 2026 has been completed successfully.
- Microsites for Aahar 2026, New Delhi World Book Fair 2026 and Nakshatra &amp; Arogyam Fair 2026 are live</t>
  </si>
  <si>
    <t>- Planning to open bookings for F&amp;B stalls and vending points at the New Delhi World Book Fair 2026 and Nakshatra &amp; Arogyam Fair 2026.
- Planning to open bookings for marquee stalls for Aahar Fair 2026.
- Attendance System (HRMS) knowledge transfer is planned for next week, as the system is currently not stable.</t>
  </si>
  <si>
    <t>- Backend: Node.js (Java script- Nest.Js Framework)
- Frontend: Angular
- DB: MySQL</t>
  </si>
  <si>
    <t>- Onboarding of remaining resources, especially frontend developers, is required as the current team is fully engaged with prioritized tasks
- SEO resource should join on 01-01-2026</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</si>
  <si>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</si>
  <si>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</si>
  <si>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</si>
  <si>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</si>
  <si>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</si>
  <si>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</si>
  <si>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</si>
  <si>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</si>
  <si>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</si>
  <si>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</si>
  <si>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</si>
  <si>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</si>
  <si>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</si>
  <si>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</si>
  <si>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</si>
  <si>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</si>
  <si>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</si>
  <si>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13</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</si>
  <si>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</si>
  <si>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</si>
  <si>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EWDS Implementation completed on 31st March 2024.
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2300 batteries. 200 immediate batteries order received and remaining 2000 batteries financial approval is in progress.
O&amp;M quarter 2 bills submitted with an amount of 1.13Cr and its under process. TSG to be scheduled.
Commercial submitted of Alappey 5 new Siren requirement with a value of 3.15Cr.</t>
  </si>
  <si>
    <t>Collection for the first and second quarter invoices. TSG meeting scheduled for coming week.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</si>
  <si>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</si>
  <si>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</si>
  <si>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</si>
  <si>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</si>
  <si>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</si>
  <si>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</si>
  <si>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</si>
  <si>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</si>
  <si>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</si>
  <si>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ATCS, ECB, PA, VMD, GPS and VDC maintenance work going on.
1. Quarterly PM report submitting as per the BSCL and SPCL requirement.
2. ERP solutions developing work still going on. As per the BSCL and MD instructions almost all modules development done. Some development parts still pending. Request for services module not yet done. 
3. Trade license module handed over to Nagar Nigam. Rest 15 Modules Modifications works are still in progress.
4. 59 Nos. GPS re-installed. 1 GPS missing. For 15 Days temporary basis old API provided by iTRiangle. Now all 59 Nos. GPS data nearly correct.  New API required. OEM internal server migration process going on and then they will provide new API and after that, same will be integrate with SWM.</t>
  </si>
  <si>
    <t xml:space="preserve">1. ERP completion. 
2. SWM issue resolution.
3. Sitla Asthan ATCS work.
</t>
  </si>
  <si>
    <t xml:space="preserve">ERP Support Issues:
1. SoftTech is not providing adequate support to resolve ERP-related issues and pending modifications. Management intervention is required to close these matters.
2. Request for Services Module:
SoftTech has stopped providing support for the Request for Services module and has put its development on hold due to financial constraints. Immediate management support is requested to resume the development.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
5. Ucon-Stacks are required very urgently.
</t>
  </si>
  <si>
    <t>Muzaffarpur O&amp;M</t>
  </si>
  <si>
    <t>Muzaffarpur Smart City O&amp;M (Shapoorji Pallonji)</t>
  </si>
  <si>
    <t>Start Date (PO) : 25-May-23 :: End Date (PO) : 24-May-28</t>
  </si>
  <si>
    <t>3</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</si>
  <si>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</si>
  <si>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</si>
  <si>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</si>
  <si>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</si>
  <si>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1] SoftTech is not providing adequate support for ERP modifications. Immediate management intervention is required to resolve this issue.
2] The new ECB card is not compatible with the ECB application. This needs to be addressed and resolved urgently.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</si>
  <si>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</si>
  <si>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</si>
  <si>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</si>
  <si>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</si>
  <si>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</si>
  <si>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</si>
  <si>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9 Qtr. O&amp;M support done and 7 Qtr. billing done.
2. Out of 7 Qtr.,5 Qtr. Payment received. 6th Qrt payment pending due to the DVC vendor billing portal have in development stage. Expected by 2nd week of Jan payment will be received. 7Th Qrt Bill submitted and HR verification on process from DVC end. 
4. Meter rectification work going on at the substations.
5. CERTIN Audit partially done. Pending for Lease line not available from DVC end and they are arranging.
</t>
  </si>
  <si>
    <t xml:space="preserve">1. CERTIN audit completion.
2. Meter rectification.
</t>
  </si>
  <si>
    <t xml:space="preserve">1. Out of 706 EDMI meters, 26 units are frequently found faulty. These need to be either repaired by EDMI or replaced (by EDMI or another make). It is becoming very difficult to maintain service levels without LD implications. Immediate management support is required.
2. Around 60 out of the remaining 680 meters are facing TTL card issues. Our team is continuously replacing TTL cards to keep the system functional.
3. 2–3 blocks (out of 96) are missing on a daily basis because we are required to restart the meters twice a day.
4. DVC is extracting raw data from our server through API for their internal services. We need to continue providing necessary API/service support as per the PO terms and conditions.
Your immediate attention and intervention in resolving these issues will help ensure uninterrupted service and compliance with contractual obligations.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</si>
  <si>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</si>
  <si>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</si>
  <si>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</si>
  <si>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</si>
  <si>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</si>
  <si>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</si>
  <si>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</si>
  <si>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</si>
  <si>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</si>
  <si>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Permission still pending for installation, team is following up with concern Dept but not cleared yet.</t>
  </si>
  <si>
    <t>Follow up on permission.</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</si>
  <si>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</si>
  <si>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</si>
  <si>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</si>
  <si>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</si>
  <si>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</si>
  <si>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</si>
  <si>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</si>
  <si>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</si>
  <si>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</si>
  <si>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Spring Boot, Odoo, React JS, Apache, PostgreSQL, Postman, Moodle, Figma, Ubuntu, NIC Cloud, Flutter, Node JS</t>
  </si>
  <si>
    <t>Vinod S / TBH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</si>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</sst>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2">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0" fontId="0" fillId="0" borderId="4" xfId="0" applyBorder="1"/>
    <xf numFmtId="0" fontId="3" fillId="0" borderId="5" xfId="3" applyBorder="1"/>
    <xf numFmtId="0" fontId="0" fillId="0" borderId="5" xfId="0" applyBorder="1"/>
    <xf numFmtId="164" fontId="0" fillId="0" borderId="5" xfId="1" applyNumberFormat="1" applyFont="1" applyBorder="1"/>
    <xf numFmtId="164" fontId="0" fillId="0" borderId="5" xfId="0" applyNumberFormat="1" applyBorder="1"/>
    <xf numFmtId="164" fontId="0" fillId="0" borderId="5" xfId="1" applyNumberFormat="1" applyFont="1" applyBorder="1" applyAlignment="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07C14D5F-0ED7-4E80-87EF-61DDC6B1734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0D5B53-CD32-4857-BFCB-4888DF5C29B0}">
  <dimension ref="A1:AD29"/>
  <sheetViews>
    <sheetView tabSelected="1" workbookViewId="0">
      <selection sqref="A1:AD29"/>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657.46053190000066</v>
      </c>
      <c r="I2" s="8">
        <v>23</v>
      </c>
      <c r="J2" s="8">
        <v>680.46053190000066</v>
      </c>
      <c r="K2" s="8">
        <v>83</v>
      </c>
      <c r="L2" s="9">
        <v>182.78401489999942</v>
      </c>
      <c r="M2" s="8">
        <v>210.06113670000016</v>
      </c>
      <c r="N2" s="8">
        <v>23.340126300000005</v>
      </c>
      <c r="O2" s="8" t="s">
        <v>34</v>
      </c>
      <c r="P2" s="10">
        <v>0.78246331309603046</v>
      </c>
      <c r="Q2" s="11" t="s">
        <v>35</v>
      </c>
      <c r="R2" s="11" t="s">
        <v>36</v>
      </c>
      <c r="S2" s="11" t="s">
        <v>37</v>
      </c>
      <c r="T2" s="11" t="s">
        <v>38</v>
      </c>
      <c r="U2" s="11" t="s">
        <v>39</v>
      </c>
      <c r="V2" s="11" t="s">
        <v>40</v>
      </c>
      <c r="W2" s="11" t="s">
        <v>41</v>
      </c>
      <c r="X2" s="11" t="s">
        <v>42</v>
      </c>
      <c r="Y2" s="11" t="s">
        <v>43</v>
      </c>
      <c r="Z2" s="12">
        <v>46022</v>
      </c>
      <c r="AA2" s="13">
        <v>0.51169137849734381</v>
      </c>
      <c r="AB2" s="13">
        <v>0.4323402397342212</v>
      </c>
      <c r="AC2" s="14" t="s">
        <v>31</v>
      </c>
      <c r="AD2" s="15" t="s">
        <v>44</v>
      </c>
    </row>
    <row r="3" spans="1:30" x14ac:dyDescent="0.25">
      <c r="A3" s="5">
        <v>2</v>
      </c>
      <c r="B3" s="6" t="s">
        <v>45</v>
      </c>
      <c r="C3" s="7" t="s">
        <v>46</v>
      </c>
      <c r="D3" s="7" t="s">
        <v>47</v>
      </c>
      <c r="E3" s="7" t="s">
        <v>32</v>
      </c>
      <c r="F3" s="7" t="s">
        <v>33</v>
      </c>
      <c r="G3" s="8">
        <v>1440.002</v>
      </c>
      <c r="H3" s="8">
        <v>843.44919400000003</v>
      </c>
      <c r="I3" s="8">
        <v>36</v>
      </c>
      <c r="J3" s="8">
        <v>879.44919400000003</v>
      </c>
      <c r="K3" s="8">
        <v>49</v>
      </c>
      <c r="L3" s="9">
        <v>596.55280599999992</v>
      </c>
      <c r="M3" s="8">
        <v>343.96249999999998</v>
      </c>
      <c r="N3" s="8">
        <v>45.0625</v>
      </c>
      <c r="O3" s="8" t="s">
        <v>34</v>
      </c>
      <c r="P3" s="10">
        <v>0.58572779343362025</v>
      </c>
      <c r="Q3" s="11" t="s">
        <v>35</v>
      </c>
      <c r="R3" s="11" t="s">
        <v>48</v>
      </c>
      <c r="S3" s="11" t="s">
        <v>49</v>
      </c>
      <c r="T3" s="11" t="s">
        <v>50</v>
      </c>
      <c r="U3" s="11" t="s">
        <v>51</v>
      </c>
      <c r="V3" s="11" t="s">
        <v>52</v>
      </c>
      <c r="W3" s="11" t="s">
        <v>53</v>
      </c>
      <c r="X3" s="11" t="s">
        <v>54</v>
      </c>
      <c r="Y3" s="11" t="s">
        <v>55</v>
      </c>
      <c r="Z3" s="12">
        <v>46023</v>
      </c>
      <c r="AA3" s="13">
        <v>0.23874878128046739</v>
      </c>
      <c r="AB3" s="13">
        <v>0.19000000008625473</v>
      </c>
      <c r="AC3" s="14" t="s">
        <v>46</v>
      </c>
      <c r="AD3" s="15" t="s">
        <v>56</v>
      </c>
    </row>
    <row r="4" spans="1:30" x14ac:dyDescent="0.25">
      <c r="A4" s="5">
        <v>3</v>
      </c>
      <c r="B4" s="6" t="s">
        <v>57</v>
      </c>
      <c r="C4" s="7" t="s">
        <v>58</v>
      </c>
      <c r="D4" s="7" t="s">
        <v>59</v>
      </c>
      <c r="E4" s="7" t="s">
        <v>32</v>
      </c>
      <c r="F4" s="7" t="s">
        <v>33</v>
      </c>
      <c r="G4" s="8">
        <v>849.8214484745763</v>
      </c>
      <c r="H4" s="8">
        <v>501.91232760000014</v>
      </c>
      <c r="I4" s="8">
        <v>67</v>
      </c>
      <c r="J4" s="8">
        <v>568.91232760000014</v>
      </c>
      <c r="K4" s="8">
        <v>71</v>
      </c>
      <c r="L4" s="9">
        <v>347.90912087457616</v>
      </c>
      <c r="M4" s="8">
        <v>248.39777539999989</v>
      </c>
      <c r="N4" s="8">
        <v>33.213165799999999</v>
      </c>
      <c r="O4" s="8" t="s">
        <v>60</v>
      </c>
      <c r="P4" s="10">
        <v>0.59060915501830336</v>
      </c>
      <c r="Q4" s="11" t="s">
        <v>35</v>
      </c>
      <c r="R4" s="11" t="s">
        <v>61</v>
      </c>
      <c r="S4" s="11" t="s">
        <v>62</v>
      </c>
      <c r="T4" s="11" t="s">
        <v>63</v>
      </c>
      <c r="U4" s="11" t="s">
        <v>64</v>
      </c>
      <c r="V4" s="11" t="s">
        <v>65</v>
      </c>
      <c r="W4" s="11" t="s">
        <v>66</v>
      </c>
      <c r="X4" s="11" t="s">
        <v>67</v>
      </c>
      <c r="Y4" s="11" t="s">
        <v>68</v>
      </c>
      <c r="Z4" s="12">
        <v>46020</v>
      </c>
      <c r="AA4" s="13">
        <v>0.29211218262192429</v>
      </c>
      <c r="AB4" s="13">
        <v>0.11942473989981339</v>
      </c>
      <c r="AC4" s="14" t="s">
        <v>58</v>
      </c>
      <c r="AD4" s="15" t="s">
        <v>69</v>
      </c>
    </row>
    <row r="5" spans="1:30" x14ac:dyDescent="0.25">
      <c r="A5" s="5">
        <v>4</v>
      </c>
      <c r="B5" s="6" t="s">
        <v>70</v>
      </c>
      <c r="C5" s="7" t="s">
        <v>71</v>
      </c>
      <c r="D5" s="7" t="s">
        <v>72</v>
      </c>
      <c r="E5" s="7" t="s">
        <v>73</v>
      </c>
      <c r="F5" s="7" t="s">
        <v>33</v>
      </c>
      <c r="G5" s="8">
        <v>2413.0259999999998</v>
      </c>
      <c r="H5" s="8">
        <v>679.61924999999997</v>
      </c>
      <c r="I5" s="8">
        <v>93</v>
      </c>
      <c r="J5" s="8">
        <v>772.61924999999997</v>
      </c>
      <c r="K5" s="8">
        <v>435.99999999999994</v>
      </c>
      <c r="L5" s="9">
        <v>1733.4067499999999</v>
      </c>
      <c r="M5" s="8">
        <v>679.61924999999997</v>
      </c>
      <c r="N5" s="8">
        <v>0</v>
      </c>
      <c r="O5" s="8" t="s">
        <v>74</v>
      </c>
      <c r="P5" s="10">
        <v>0.28164605354438782</v>
      </c>
      <c r="Q5" s="11" t="s">
        <v>75</v>
      </c>
      <c r="R5" s="11" t="s">
        <v>76</v>
      </c>
      <c r="S5" s="11" t="s">
        <v>77</v>
      </c>
      <c r="T5" s="11" t="s">
        <v>78</v>
      </c>
      <c r="U5" s="11" t="s">
        <v>79</v>
      </c>
      <c r="V5" s="11" t="s">
        <v>80</v>
      </c>
      <c r="W5" s="11" t="s">
        <v>81</v>
      </c>
      <c r="X5" s="11" t="s">
        <v>82</v>
      </c>
      <c r="Y5" s="11" t="s">
        <v>83</v>
      </c>
      <c r="Z5" s="12">
        <v>46017</v>
      </c>
      <c r="AA5" s="13">
        <v>0.38138829771679483</v>
      </c>
      <c r="AB5" s="13">
        <v>0.33027289323308273</v>
      </c>
      <c r="AC5" s="14" t="s">
        <v>71</v>
      </c>
      <c r="AD5" s="15" t="s">
        <v>84</v>
      </c>
    </row>
    <row r="6" spans="1:30" x14ac:dyDescent="0.25">
      <c r="A6" s="5">
        <v>5</v>
      </c>
      <c r="B6" s="6" t="s">
        <v>85</v>
      </c>
      <c r="C6" s="7" t="s">
        <v>86</v>
      </c>
      <c r="D6" s="7" t="s">
        <v>86</v>
      </c>
      <c r="E6" s="7" t="s">
        <v>32</v>
      </c>
      <c r="F6" s="7" t="s">
        <v>87</v>
      </c>
      <c r="G6" s="8">
        <v>1265.69472</v>
      </c>
      <c r="H6" s="8">
        <v>497.67500000000001</v>
      </c>
      <c r="I6" s="8">
        <v>124</v>
      </c>
      <c r="J6" s="8">
        <v>621.67499999999995</v>
      </c>
      <c r="K6" s="8">
        <v>367</v>
      </c>
      <c r="L6" s="9">
        <v>768.01972000000001</v>
      </c>
      <c r="M6" s="8">
        <v>62.209375000000001</v>
      </c>
      <c r="N6" s="8">
        <v>0</v>
      </c>
      <c r="O6" s="8" t="s">
        <v>88</v>
      </c>
      <c r="P6" s="10">
        <v>0.39320303082247199</v>
      </c>
      <c r="Q6" s="11" t="s">
        <v>89</v>
      </c>
      <c r="R6" s="11" t="s">
        <v>90</v>
      </c>
      <c r="S6" s="11">
        <v>0</v>
      </c>
      <c r="T6" s="11" t="s">
        <v>91</v>
      </c>
      <c r="U6" s="11" t="s">
        <v>92</v>
      </c>
      <c r="V6" s="11" t="s">
        <v>93</v>
      </c>
      <c r="W6" s="11" t="s">
        <v>94</v>
      </c>
      <c r="X6" s="16" t="s">
        <v>95</v>
      </c>
      <c r="Y6" s="11">
        <v>0</v>
      </c>
      <c r="Z6" s="12">
        <v>46010</v>
      </c>
      <c r="AA6" s="13" t="s">
        <v>96</v>
      </c>
      <c r="AB6" s="13" t="s">
        <v>96</v>
      </c>
      <c r="AC6" s="14" t="s">
        <v>86</v>
      </c>
      <c r="AD6" s="15" t="s">
        <v>97</v>
      </c>
    </row>
    <row r="7" spans="1:30" x14ac:dyDescent="0.25">
      <c r="A7" s="5">
        <v>6</v>
      </c>
      <c r="B7" s="6" t="s">
        <v>98</v>
      </c>
      <c r="C7" s="7" t="s">
        <v>99</v>
      </c>
      <c r="D7" s="7" t="s">
        <v>100</v>
      </c>
      <c r="E7" s="7" t="s">
        <v>32</v>
      </c>
      <c r="F7" s="7" t="s">
        <v>87</v>
      </c>
      <c r="G7" s="8">
        <v>2186.2800000000002</v>
      </c>
      <c r="H7" s="8">
        <v>360.57</v>
      </c>
      <c r="I7" s="8">
        <v>89</v>
      </c>
      <c r="J7" s="8">
        <v>449.57</v>
      </c>
      <c r="K7" s="8">
        <v>39</v>
      </c>
      <c r="L7" s="9">
        <v>1825.7100000000003</v>
      </c>
      <c r="M7" s="8">
        <v>360.57</v>
      </c>
      <c r="N7" s="8">
        <v>0</v>
      </c>
      <c r="O7" s="8" t="s">
        <v>101</v>
      </c>
      <c r="P7" s="10">
        <v>0.16492398045995937</v>
      </c>
      <c r="Q7" s="11" t="s">
        <v>102</v>
      </c>
      <c r="R7" s="11" t="s">
        <v>103</v>
      </c>
      <c r="S7" s="11" t="s">
        <v>104</v>
      </c>
      <c r="T7" s="11" t="s">
        <v>105</v>
      </c>
      <c r="U7" s="11" t="s">
        <v>106</v>
      </c>
      <c r="V7" s="11" t="s">
        <v>107</v>
      </c>
      <c r="W7" s="11" t="s">
        <v>108</v>
      </c>
      <c r="X7" s="11" t="s">
        <v>109</v>
      </c>
      <c r="Y7" s="11" t="s">
        <v>110</v>
      </c>
      <c r="Z7" s="12">
        <v>46020</v>
      </c>
      <c r="AA7" s="13">
        <v>0.13208992205994807</v>
      </c>
      <c r="AB7" s="13">
        <v>0.32590705634920647</v>
      </c>
      <c r="AC7" s="14" t="s">
        <v>99</v>
      </c>
      <c r="AD7" s="15" t="s">
        <v>111</v>
      </c>
    </row>
    <row r="8" spans="1:30" x14ac:dyDescent="0.25">
      <c r="A8" s="5">
        <v>7</v>
      </c>
      <c r="B8" s="6" t="s">
        <v>112</v>
      </c>
      <c r="C8" s="7" t="s">
        <v>113</v>
      </c>
      <c r="D8" s="7" t="s">
        <v>114</v>
      </c>
      <c r="E8" s="7" t="s">
        <v>32</v>
      </c>
      <c r="F8" s="7" t="s">
        <v>33</v>
      </c>
      <c r="G8" s="8">
        <v>1606.08</v>
      </c>
      <c r="H8" s="8">
        <v>631.65653049999992</v>
      </c>
      <c r="I8" s="8">
        <v>68</v>
      </c>
      <c r="J8" s="8">
        <v>699.65653049999992</v>
      </c>
      <c r="K8" s="8">
        <v>259</v>
      </c>
      <c r="L8" s="9">
        <v>974.42346950000001</v>
      </c>
      <c r="M8" s="8">
        <v>520.13092500000005</v>
      </c>
      <c r="N8" s="8">
        <v>0</v>
      </c>
      <c r="O8" s="8" t="s">
        <v>60</v>
      </c>
      <c r="P8" s="10">
        <v>0.39329082642209601</v>
      </c>
      <c r="Q8" s="11" t="s">
        <v>35</v>
      </c>
      <c r="R8" s="11" t="s">
        <v>115</v>
      </c>
      <c r="S8" s="11" t="s">
        <v>116</v>
      </c>
      <c r="T8" s="11" t="s">
        <v>117</v>
      </c>
      <c r="U8" s="11" t="s">
        <v>118</v>
      </c>
      <c r="V8" s="11" t="s">
        <v>119</v>
      </c>
      <c r="W8" s="11" t="s">
        <v>120</v>
      </c>
      <c r="X8" s="11" t="s">
        <v>121</v>
      </c>
      <c r="Y8" s="11" t="s">
        <v>122</v>
      </c>
      <c r="Z8" s="12">
        <v>46023</v>
      </c>
      <c r="AA8" s="13">
        <v>0.10999999990625531</v>
      </c>
      <c r="AB8" s="13">
        <v>0.10999999996973608</v>
      </c>
      <c r="AC8" s="14" t="s">
        <v>113</v>
      </c>
      <c r="AD8" s="15" t="s">
        <v>123</v>
      </c>
    </row>
    <row r="9" spans="1:30" x14ac:dyDescent="0.25">
      <c r="A9" s="5">
        <v>8</v>
      </c>
      <c r="B9" s="6" t="s">
        <v>124</v>
      </c>
      <c r="C9" s="7" t="s">
        <v>124</v>
      </c>
      <c r="D9" s="7" t="s">
        <v>124</v>
      </c>
      <c r="E9" s="7" t="s">
        <v>73</v>
      </c>
      <c r="F9" s="7" t="s">
        <v>125</v>
      </c>
      <c r="G9" s="8">
        <v>1372.5805700000001</v>
      </c>
      <c r="H9" s="8">
        <v>430.5498189000001</v>
      </c>
      <c r="I9" s="8">
        <v>35</v>
      </c>
      <c r="J9" s="8">
        <v>465.5498189000001</v>
      </c>
      <c r="K9" s="8">
        <v>194</v>
      </c>
      <c r="L9" s="9">
        <v>942.03075109999997</v>
      </c>
      <c r="M9" s="8">
        <v>74.732390099999961</v>
      </c>
      <c r="N9" s="8">
        <v>0</v>
      </c>
      <c r="O9" s="8" t="s">
        <v>126</v>
      </c>
      <c r="P9" s="10">
        <v>0.31367908617561158</v>
      </c>
      <c r="Q9" s="11" t="s">
        <v>127</v>
      </c>
      <c r="R9" s="11" t="s">
        <v>128</v>
      </c>
      <c r="S9" s="11" t="s">
        <v>129</v>
      </c>
      <c r="T9" s="11" t="s">
        <v>130</v>
      </c>
      <c r="U9" s="11" t="s">
        <v>131</v>
      </c>
      <c r="V9" s="11" t="s">
        <v>132</v>
      </c>
      <c r="W9" s="11" t="s">
        <v>133</v>
      </c>
      <c r="X9" s="11" t="s">
        <v>134</v>
      </c>
      <c r="Y9" s="11" t="s">
        <v>135</v>
      </c>
      <c r="Z9" s="12">
        <v>46016</v>
      </c>
      <c r="AA9" s="13">
        <v>4.2028368917830683E-2</v>
      </c>
      <c r="AB9" s="13">
        <v>0.11441806775377272</v>
      </c>
      <c r="AC9" s="14" t="s">
        <v>124</v>
      </c>
      <c r="AD9" s="15" t="s">
        <v>136</v>
      </c>
    </row>
    <row r="10" spans="1:30" x14ac:dyDescent="0.25">
      <c r="A10" s="5">
        <v>9</v>
      </c>
      <c r="B10" s="6" t="s">
        <v>137</v>
      </c>
      <c r="C10" s="7" t="s">
        <v>138</v>
      </c>
      <c r="D10" s="7" t="s">
        <v>137</v>
      </c>
      <c r="E10" s="7" t="s">
        <v>32</v>
      </c>
      <c r="F10" s="7" t="s">
        <v>125</v>
      </c>
      <c r="G10" s="8">
        <v>5337.5</v>
      </c>
      <c r="H10" s="8">
        <v>3812.5</v>
      </c>
      <c r="I10" s="8">
        <v>890</v>
      </c>
      <c r="J10" s="8">
        <v>4702.5</v>
      </c>
      <c r="K10" s="8">
        <v>923</v>
      </c>
      <c r="L10" s="9">
        <v>1525</v>
      </c>
      <c r="M10" s="8">
        <v>1143.75</v>
      </c>
      <c r="N10" s="8">
        <v>0</v>
      </c>
      <c r="O10" s="8" t="s">
        <v>139</v>
      </c>
      <c r="P10" s="10">
        <v>0.7142857142857143</v>
      </c>
      <c r="Q10" s="11" t="s">
        <v>75</v>
      </c>
      <c r="R10" s="11" t="s">
        <v>140</v>
      </c>
      <c r="S10" s="11" t="s">
        <v>141</v>
      </c>
      <c r="T10" s="11" t="s">
        <v>142</v>
      </c>
      <c r="U10" s="11" t="s">
        <v>143</v>
      </c>
      <c r="V10" s="11" t="s">
        <v>144</v>
      </c>
      <c r="W10" s="11" t="s">
        <v>145</v>
      </c>
      <c r="X10" s="11" t="s">
        <v>134</v>
      </c>
      <c r="Y10" s="11" t="s">
        <v>146</v>
      </c>
      <c r="Z10" s="12">
        <v>46017</v>
      </c>
      <c r="AA10" s="13">
        <v>0.32459213746035365</v>
      </c>
      <c r="AB10" s="13">
        <v>0.51229508024724535</v>
      </c>
      <c r="AC10" s="14" t="s">
        <v>138</v>
      </c>
      <c r="AD10" s="15" t="s">
        <v>147</v>
      </c>
    </row>
    <row r="11" spans="1:30" x14ac:dyDescent="0.25">
      <c r="A11" s="5">
        <v>10</v>
      </c>
      <c r="B11" s="6" t="s">
        <v>148</v>
      </c>
      <c r="C11" s="7" t="s">
        <v>149</v>
      </c>
      <c r="D11" s="7" t="s">
        <v>149</v>
      </c>
      <c r="E11" s="7" t="s">
        <v>150</v>
      </c>
      <c r="F11" s="7" t="s">
        <v>151</v>
      </c>
      <c r="G11" s="8">
        <v>680.69294500000001</v>
      </c>
      <c r="H11" s="8">
        <v>297.19870160000005</v>
      </c>
      <c r="I11" s="8">
        <v>7.0000000000000009</v>
      </c>
      <c r="J11" s="8">
        <v>304.19870160000005</v>
      </c>
      <c r="K11" s="8">
        <v>70</v>
      </c>
      <c r="L11" s="9">
        <v>383.49424339999996</v>
      </c>
      <c r="M11" s="8">
        <v>78.093976400000017</v>
      </c>
      <c r="N11" s="8">
        <v>0</v>
      </c>
      <c r="O11" s="8" t="s">
        <v>152</v>
      </c>
      <c r="P11" s="10">
        <v>0.43661199044746973</v>
      </c>
      <c r="Q11" s="11" t="s">
        <v>35</v>
      </c>
      <c r="R11" s="11" t="s">
        <v>153</v>
      </c>
      <c r="S11" s="11">
        <v>0</v>
      </c>
      <c r="T11" s="11" t="s">
        <v>154</v>
      </c>
      <c r="U11" s="11" t="s">
        <v>155</v>
      </c>
      <c r="V11" s="11" t="s">
        <v>156</v>
      </c>
      <c r="W11" s="11" t="s">
        <v>157</v>
      </c>
      <c r="X11" s="11" t="s">
        <v>134</v>
      </c>
      <c r="Y11" s="11">
        <v>0</v>
      </c>
      <c r="Z11" s="12">
        <v>46016</v>
      </c>
      <c r="AA11" s="13">
        <v>0.39138018716639467</v>
      </c>
      <c r="AB11" s="13">
        <v>0.12040585230689282</v>
      </c>
      <c r="AC11" s="14" t="s">
        <v>149</v>
      </c>
      <c r="AD11" s="15" t="s">
        <v>158</v>
      </c>
    </row>
    <row r="12" spans="1:30" x14ac:dyDescent="0.25">
      <c r="A12" s="5">
        <v>11</v>
      </c>
      <c r="B12" s="6" t="s">
        <v>159</v>
      </c>
      <c r="C12" s="7" t="s">
        <v>160</v>
      </c>
      <c r="D12" s="7" t="s">
        <v>160</v>
      </c>
      <c r="E12" s="7" t="s">
        <v>73</v>
      </c>
      <c r="F12" s="7" t="s">
        <v>125</v>
      </c>
      <c r="G12" s="8">
        <v>1045.762712</v>
      </c>
      <c r="H12" s="8">
        <v>709.40253320000011</v>
      </c>
      <c r="I12" s="8">
        <v>0</v>
      </c>
      <c r="J12" s="8">
        <v>709.40253320000011</v>
      </c>
      <c r="K12" s="8">
        <v>0</v>
      </c>
      <c r="L12" s="9">
        <v>336.36017879999986</v>
      </c>
      <c r="M12" s="8">
        <v>-0.59409959999999995</v>
      </c>
      <c r="N12" s="8">
        <v>0</v>
      </c>
      <c r="O12" s="8" t="s">
        <v>161</v>
      </c>
      <c r="P12" s="10">
        <v>0.6783589862783328</v>
      </c>
      <c r="Q12" s="11" t="s">
        <v>162</v>
      </c>
      <c r="R12" s="11" t="s">
        <v>163</v>
      </c>
      <c r="S12" s="11" t="s">
        <v>164</v>
      </c>
      <c r="T12" s="11" t="s">
        <v>165</v>
      </c>
      <c r="U12" s="11" t="s">
        <v>166</v>
      </c>
      <c r="V12" s="11" t="s">
        <v>167</v>
      </c>
      <c r="W12" s="11" t="s">
        <v>168</v>
      </c>
      <c r="X12" s="11" t="s">
        <v>134</v>
      </c>
      <c r="Y12" s="11" t="s">
        <v>169</v>
      </c>
      <c r="Z12" s="12">
        <v>46023</v>
      </c>
      <c r="AA12" s="13">
        <v>-0.51932269441304379</v>
      </c>
      <c r="AB12" s="13">
        <v>0.18000000439604424</v>
      </c>
      <c r="AC12" s="14" t="s">
        <v>160</v>
      </c>
      <c r="AD12" s="15" t="s">
        <v>170</v>
      </c>
    </row>
    <row r="13" spans="1:30" x14ac:dyDescent="0.25">
      <c r="A13" s="5">
        <v>12</v>
      </c>
      <c r="B13" s="6" t="s">
        <v>171</v>
      </c>
      <c r="C13" s="7" t="s">
        <v>172</v>
      </c>
      <c r="D13" s="7" t="s">
        <v>171</v>
      </c>
      <c r="E13" s="7" t="s">
        <v>73</v>
      </c>
      <c r="F13" s="7" t="s">
        <v>125</v>
      </c>
      <c r="G13" s="8">
        <v>2019.8763390000001</v>
      </c>
      <c r="H13" s="8">
        <v>410.24943680000001</v>
      </c>
      <c r="I13" s="8">
        <v>0</v>
      </c>
      <c r="J13" s="8">
        <v>410.24943680000001</v>
      </c>
      <c r="K13" s="8">
        <v>0</v>
      </c>
      <c r="L13" s="9">
        <v>1609.6269022000001</v>
      </c>
      <c r="M13" s="8">
        <v>249.41269740000001</v>
      </c>
      <c r="N13" s="8">
        <v>78.252260000000007</v>
      </c>
      <c r="O13" s="8" t="s">
        <v>152</v>
      </c>
      <c r="P13" s="10">
        <v>0.20310621441464391</v>
      </c>
      <c r="Q13" s="11" t="s">
        <v>75</v>
      </c>
      <c r="R13" s="11" t="s">
        <v>173</v>
      </c>
      <c r="S13" s="11" t="s">
        <v>174</v>
      </c>
      <c r="T13" s="11" t="s">
        <v>175</v>
      </c>
      <c r="U13" s="11" t="s">
        <v>176</v>
      </c>
      <c r="V13" s="11" t="s">
        <v>177</v>
      </c>
      <c r="W13" s="11" t="s">
        <v>178</v>
      </c>
      <c r="X13" s="11" t="s">
        <v>134</v>
      </c>
      <c r="Y13" s="11" t="s">
        <v>179</v>
      </c>
      <c r="Z13" s="12">
        <v>46023</v>
      </c>
      <c r="AA13" s="13">
        <v>0.20489999989669583</v>
      </c>
      <c r="AB13" s="13">
        <v>0.2046391013686556</v>
      </c>
      <c r="AC13" s="14" t="s">
        <v>172</v>
      </c>
      <c r="AD13" s="15" t="s">
        <v>170</v>
      </c>
    </row>
    <row r="14" spans="1:30" x14ac:dyDescent="0.25">
      <c r="A14" s="5">
        <v>13</v>
      </c>
      <c r="B14" s="6" t="s">
        <v>180</v>
      </c>
      <c r="C14" s="7" t="s">
        <v>181</v>
      </c>
      <c r="D14" s="7" t="s">
        <v>182</v>
      </c>
      <c r="E14" s="7" t="s">
        <v>73</v>
      </c>
      <c r="F14" s="7" t="s">
        <v>125</v>
      </c>
      <c r="G14" s="8">
        <v>2903.04126</v>
      </c>
      <c r="H14" s="8">
        <v>1722.0305597000006</v>
      </c>
      <c r="I14" s="8">
        <v>13</v>
      </c>
      <c r="J14" s="8">
        <v>1735.0305597000006</v>
      </c>
      <c r="K14" s="8">
        <v>978.99999999999989</v>
      </c>
      <c r="L14" s="9">
        <v>1181.0107002999994</v>
      </c>
      <c r="M14" s="8">
        <v>54.821240000000003</v>
      </c>
      <c r="N14" s="8">
        <v>0</v>
      </c>
      <c r="O14" s="8" t="s">
        <v>183</v>
      </c>
      <c r="P14" s="10">
        <v>0.59318156563162339</v>
      </c>
      <c r="Q14" s="11" t="s">
        <v>75</v>
      </c>
      <c r="R14" s="11" t="s">
        <v>184</v>
      </c>
      <c r="S14" s="11" t="s">
        <v>185</v>
      </c>
      <c r="T14" s="11" t="s">
        <v>186</v>
      </c>
      <c r="U14" s="11" t="s">
        <v>187</v>
      </c>
      <c r="V14" s="11" t="s">
        <v>188</v>
      </c>
      <c r="W14" s="11" t="s">
        <v>189</v>
      </c>
      <c r="X14" s="11" t="s">
        <v>134</v>
      </c>
      <c r="Y14" s="11" t="s">
        <v>190</v>
      </c>
      <c r="Z14" s="12">
        <v>46023</v>
      </c>
      <c r="AA14" s="13">
        <v>-0.25507753012125778</v>
      </c>
      <c r="AB14" s="13">
        <v>-0.204144834903355</v>
      </c>
      <c r="AC14" s="14" t="s">
        <v>181</v>
      </c>
      <c r="AD14" s="15" t="s">
        <v>191</v>
      </c>
    </row>
    <row r="15" spans="1:30" x14ac:dyDescent="0.25">
      <c r="A15" s="5">
        <v>14</v>
      </c>
      <c r="B15" s="6" t="s">
        <v>192</v>
      </c>
      <c r="C15" s="7" t="s">
        <v>193</v>
      </c>
      <c r="D15" s="7" t="s">
        <v>193</v>
      </c>
      <c r="E15" s="7" t="s">
        <v>73</v>
      </c>
      <c r="F15" s="7" t="s">
        <v>87</v>
      </c>
      <c r="G15" s="8">
        <v>1047.3630700000001</v>
      </c>
      <c r="H15" s="8">
        <v>162.96677500000001</v>
      </c>
      <c r="I15" s="8">
        <v>0</v>
      </c>
      <c r="J15" s="8">
        <v>162.96677500000001</v>
      </c>
      <c r="K15" s="8">
        <v>114.99999999999999</v>
      </c>
      <c r="L15" s="9">
        <v>884.39629500000012</v>
      </c>
      <c r="M15" s="8">
        <v>0</v>
      </c>
      <c r="N15" s="8">
        <v>0</v>
      </c>
      <c r="O15" s="8" t="s">
        <v>194</v>
      </c>
      <c r="P15" s="10">
        <v>0.15559721329490833</v>
      </c>
      <c r="Q15" s="11" t="s">
        <v>195</v>
      </c>
      <c r="R15" s="11" t="s">
        <v>196</v>
      </c>
      <c r="S15" s="11" t="s">
        <v>197</v>
      </c>
      <c r="T15" s="11" t="s">
        <v>198</v>
      </c>
      <c r="U15" s="11" t="s">
        <v>199</v>
      </c>
      <c r="V15" s="11" t="s">
        <v>200</v>
      </c>
      <c r="W15" s="11" t="s">
        <v>201</v>
      </c>
      <c r="X15" s="11" t="s">
        <v>202</v>
      </c>
      <c r="Y15" s="11" t="s">
        <v>203</v>
      </c>
      <c r="Z15" s="12">
        <v>46017</v>
      </c>
      <c r="AA15" s="13" t="s">
        <v>96</v>
      </c>
      <c r="AB15" s="13">
        <v>-9.5509698226650848</v>
      </c>
      <c r="AC15" s="14" t="s">
        <v>193</v>
      </c>
      <c r="AD15" s="15" t="s">
        <v>204</v>
      </c>
    </row>
    <row r="16" spans="1:30" x14ac:dyDescent="0.25">
      <c r="A16" s="5">
        <v>15</v>
      </c>
      <c r="B16" s="6" t="s">
        <v>205</v>
      </c>
      <c r="C16" s="7" t="s">
        <v>206</v>
      </c>
      <c r="D16" s="7" t="s">
        <v>205</v>
      </c>
      <c r="E16" s="7" t="s">
        <v>207</v>
      </c>
      <c r="F16" s="7" t="s">
        <v>125</v>
      </c>
      <c r="G16" s="8">
        <v>669.18430290000003</v>
      </c>
      <c r="H16" s="8">
        <v>662.96125290000009</v>
      </c>
      <c r="I16" s="8">
        <v>6</v>
      </c>
      <c r="J16" s="8">
        <v>668.96125290000009</v>
      </c>
      <c r="K16" s="8">
        <v>426</v>
      </c>
      <c r="L16" s="9">
        <v>6.2230499999999438</v>
      </c>
      <c r="M16" s="8">
        <v>347.80687999999998</v>
      </c>
      <c r="N16" s="8">
        <v>0</v>
      </c>
      <c r="O16" s="8" t="s">
        <v>208</v>
      </c>
      <c r="P16" s="10">
        <v>0.9907005439711728</v>
      </c>
      <c r="Q16" s="16" t="s">
        <v>209</v>
      </c>
      <c r="R16" s="11" t="s">
        <v>210</v>
      </c>
      <c r="S16" s="11" t="s">
        <v>211</v>
      </c>
      <c r="T16" s="11" t="s">
        <v>198</v>
      </c>
      <c r="U16" s="11" t="s">
        <v>212</v>
      </c>
      <c r="V16" s="11" t="s">
        <v>213</v>
      </c>
      <c r="W16" s="11" t="s">
        <v>214</v>
      </c>
      <c r="X16" s="11" t="s">
        <v>134</v>
      </c>
      <c r="Y16" s="11" t="s">
        <v>215</v>
      </c>
      <c r="Z16" s="12">
        <v>46023</v>
      </c>
      <c r="AA16" s="13">
        <v>0.21114271514376315</v>
      </c>
      <c r="AB16" s="13">
        <v>0.20000000003501683</v>
      </c>
      <c r="AC16" s="14" t="s">
        <v>206</v>
      </c>
      <c r="AD16" s="15" t="s">
        <v>216</v>
      </c>
    </row>
    <row r="17" spans="1:30" x14ac:dyDescent="0.25">
      <c r="A17" s="5">
        <v>16</v>
      </c>
      <c r="B17" s="6" t="s">
        <v>217</v>
      </c>
      <c r="C17" s="7" t="s">
        <v>218</v>
      </c>
      <c r="D17" s="7" t="s">
        <v>219</v>
      </c>
      <c r="E17" s="7" t="s">
        <v>73</v>
      </c>
      <c r="F17" s="7" t="s">
        <v>125</v>
      </c>
      <c r="G17" s="8">
        <v>655.74612000000002</v>
      </c>
      <c r="H17" s="8">
        <v>647.73144530000002</v>
      </c>
      <c r="I17" s="8">
        <v>144</v>
      </c>
      <c r="J17" s="8">
        <v>791.73144530000002</v>
      </c>
      <c r="K17" s="8">
        <v>188</v>
      </c>
      <c r="L17" s="9">
        <v>8.0146747000000005</v>
      </c>
      <c r="M17" s="8">
        <v>647.73144530000002</v>
      </c>
      <c r="N17" s="8">
        <v>214.64756329999997</v>
      </c>
      <c r="O17" s="8" t="s">
        <v>220</v>
      </c>
      <c r="P17" s="10">
        <v>0.98777777793027577</v>
      </c>
      <c r="Q17" s="11" t="s">
        <v>35</v>
      </c>
      <c r="R17" s="11" t="s">
        <v>221</v>
      </c>
      <c r="S17" s="11" t="s">
        <v>222</v>
      </c>
      <c r="T17" s="11" t="s">
        <v>223</v>
      </c>
      <c r="U17" s="11" t="s">
        <v>224</v>
      </c>
      <c r="V17" s="11" t="s">
        <v>225</v>
      </c>
      <c r="W17" s="11" t="s">
        <v>226</v>
      </c>
      <c r="X17" s="11" t="s">
        <v>134</v>
      </c>
      <c r="Y17" s="11" t="s">
        <v>227</v>
      </c>
      <c r="Z17" s="12">
        <v>46015</v>
      </c>
      <c r="AA17" s="13">
        <v>0.58190478276802593</v>
      </c>
      <c r="AB17" s="13" t="s">
        <v>96</v>
      </c>
      <c r="AC17" s="14" t="s">
        <v>218</v>
      </c>
      <c r="AD17" s="15" t="s">
        <v>228</v>
      </c>
    </row>
    <row r="18" spans="1:30" x14ac:dyDescent="0.25">
      <c r="A18" s="5">
        <v>17</v>
      </c>
      <c r="B18" s="6" t="s">
        <v>229</v>
      </c>
      <c r="C18" s="7" t="s">
        <v>230</v>
      </c>
      <c r="D18" s="7" t="s">
        <v>231</v>
      </c>
      <c r="E18" s="7" t="s">
        <v>73</v>
      </c>
      <c r="F18" s="7" t="s">
        <v>232</v>
      </c>
      <c r="G18" s="8">
        <v>171.31355932203391</v>
      </c>
      <c r="H18" s="8">
        <v>171.31355930000001</v>
      </c>
      <c r="I18" s="8">
        <v>0</v>
      </c>
      <c r="J18" s="8">
        <v>171.31355930000001</v>
      </c>
      <c r="K18" s="8">
        <v>51</v>
      </c>
      <c r="L18" s="9">
        <v>2.2033901814211276E-8</v>
      </c>
      <c r="M18" s="8">
        <v>171.31355930000001</v>
      </c>
      <c r="N18" s="8">
        <v>0</v>
      </c>
      <c r="O18" s="8" t="s">
        <v>233</v>
      </c>
      <c r="P18" s="10">
        <v>0.99999999987138266</v>
      </c>
      <c r="Q18" s="11" t="s">
        <v>234</v>
      </c>
      <c r="R18" s="11" t="s">
        <v>235</v>
      </c>
      <c r="S18" s="11" t="s">
        <v>236</v>
      </c>
      <c r="T18" s="11" t="s">
        <v>237</v>
      </c>
      <c r="U18" s="31" t="s">
        <v>350</v>
      </c>
      <c r="V18" s="11" t="s">
        <v>238</v>
      </c>
      <c r="W18" s="11" t="s">
        <v>239</v>
      </c>
      <c r="X18" s="11" t="s">
        <v>240</v>
      </c>
      <c r="Y18" s="11" t="s">
        <v>241</v>
      </c>
      <c r="Z18" s="12">
        <v>46015</v>
      </c>
      <c r="AA18" s="13">
        <v>0.22245253764918993</v>
      </c>
      <c r="AB18" s="13" t="s">
        <v>96</v>
      </c>
      <c r="AC18" s="14" t="s">
        <v>230</v>
      </c>
      <c r="AD18" s="15" t="s">
        <v>242</v>
      </c>
    </row>
    <row r="19" spans="1:30" x14ac:dyDescent="0.25">
      <c r="A19" s="5">
        <v>18</v>
      </c>
      <c r="B19" s="6" t="s">
        <v>243</v>
      </c>
      <c r="C19" s="7" t="s">
        <v>244</v>
      </c>
      <c r="D19" s="7" t="s">
        <v>245</v>
      </c>
      <c r="E19" s="7" t="s">
        <v>32</v>
      </c>
      <c r="F19" s="7" t="s">
        <v>87</v>
      </c>
      <c r="G19" s="8">
        <v>111.36</v>
      </c>
      <c r="H19" s="8">
        <v>33.408000000000001</v>
      </c>
      <c r="I19" s="8">
        <v>0</v>
      </c>
      <c r="J19" s="8">
        <v>33.408000000000001</v>
      </c>
      <c r="K19" s="8">
        <v>0</v>
      </c>
      <c r="L19" s="9">
        <v>77.951999999999998</v>
      </c>
      <c r="M19" s="8">
        <v>33.408000000000001</v>
      </c>
      <c r="N19" s="8">
        <v>0</v>
      </c>
      <c r="O19" s="8" t="s">
        <v>246</v>
      </c>
      <c r="P19" s="10">
        <v>0.3</v>
      </c>
      <c r="Q19" s="11" t="s">
        <v>247</v>
      </c>
      <c r="R19" s="11" t="s">
        <v>248</v>
      </c>
      <c r="S19" s="11" t="s">
        <v>249</v>
      </c>
      <c r="T19" s="11" t="s">
        <v>250</v>
      </c>
      <c r="U19" s="11" t="s">
        <v>251</v>
      </c>
      <c r="V19" s="11" t="s">
        <v>252</v>
      </c>
      <c r="W19" s="11" t="s">
        <v>253</v>
      </c>
      <c r="X19" s="11" t="s">
        <v>254</v>
      </c>
      <c r="Y19" s="11" t="s">
        <v>255</v>
      </c>
      <c r="Z19" s="12">
        <v>46017</v>
      </c>
      <c r="AA19" s="13">
        <v>0.51068061841475076</v>
      </c>
      <c r="AB19" s="13" t="s">
        <v>96</v>
      </c>
      <c r="AC19" s="14" t="s">
        <v>244</v>
      </c>
      <c r="AD19" s="15" t="s">
        <v>97</v>
      </c>
    </row>
    <row r="20" spans="1:30" x14ac:dyDescent="0.25">
      <c r="A20" s="5">
        <v>19</v>
      </c>
      <c r="B20" s="6" t="s">
        <v>256</v>
      </c>
      <c r="C20" s="7" t="s">
        <v>256</v>
      </c>
      <c r="D20" s="7" t="s">
        <v>257</v>
      </c>
      <c r="E20" s="7" t="s">
        <v>32</v>
      </c>
      <c r="F20" s="7" t="s">
        <v>87</v>
      </c>
      <c r="G20" s="8">
        <v>218.28</v>
      </c>
      <c r="H20" s="8">
        <v>0</v>
      </c>
      <c r="I20" s="8">
        <v>0</v>
      </c>
      <c r="J20" s="8">
        <v>0</v>
      </c>
      <c r="K20" s="8">
        <v>0</v>
      </c>
      <c r="L20" s="9">
        <v>218.28</v>
      </c>
      <c r="M20" s="8">
        <v>0</v>
      </c>
      <c r="N20" s="8">
        <v>0</v>
      </c>
      <c r="O20" s="17" t="s">
        <v>258</v>
      </c>
      <c r="P20" s="10">
        <v>0</v>
      </c>
      <c r="Q20" s="11" t="s">
        <v>134</v>
      </c>
      <c r="R20" s="11" t="s">
        <v>259</v>
      </c>
      <c r="S20" s="11" t="s">
        <v>249</v>
      </c>
      <c r="T20" s="11" t="s">
        <v>134</v>
      </c>
      <c r="U20" s="11" t="s">
        <v>260</v>
      </c>
      <c r="V20" s="11" t="s">
        <v>261</v>
      </c>
      <c r="W20" s="11" t="s">
        <v>262</v>
      </c>
      <c r="X20" s="11">
        <v>0</v>
      </c>
      <c r="Y20" s="11" t="s">
        <v>134</v>
      </c>
      <c r="Z20" s="12">
        <v>46017</v>
      </c>
      <c r="AA20" s="13" t="s">
        <v>96</v>
      </c>
      <c r="AB20" s="13" t="s">
        <v>96</v>
      </c>
      <c r="AC20" s="14" t="s">
        <v>256</v>
      </c>
      <c r="AD20" s="15" t="s">
        <v>263</v>
      </c>
    </row>
    <row r="21" spans="1:30" x14ac:dyDescent="0.25">
      <c r="A21" s="5">
        <v>20</v>
      </c>
      <c r="B21" s="6" t="s">
        <v>264</v>
      </c>
      <c r="C21" s="7" t="s">
        <v>265</v>
      </c>
      <c r="D21" s="7" t="s">
        <v>266</v>
      </c>
      <c r="E21" s="7" t="s">
        <v>32</v>
      </c>
      <c r="F21" s="7" t="s">
        <v>33</v>
      </c>
      <c r="G21" s="8">
        <v>509.88</v>
      </c>
      <c r="H21" s="8">
        <v>20.367329999999999</v>
      </c>
      <c r="I21" s="8">
        <v>10</v>
      </c>
      <c r="J21" s="8">
        <v>30.367329999999999</v>
      </c>
      <c r="K21" s="8">
        <v>0</v>
      </c>
      <c r="L21" s="9">
        <v>489.51267000000001</v>
      </c>
      <c r="M21" s="8">
        <v>20.367329999999999</v>
      </c>
      <c r="N21" s="8">
        <v>20.367329999999999</v>
      </c>
      <c r="O21" s="8" t="s">
        <v>267</v>
      </c>
      <c r="P21" s="10">
        <v>3.9945340080018828E-2</v>
      </c>
      <c r="Q21" s="11" t="s">
        <v>35</v>
      </c>
      <c r="R21" s="11" t="s">
        <v>268</v>
      </c>
      <c r="S21" s="11" t="s">
        <v>269</v>
      </c>
      <c r="T21" s="11" t="s">
        <v>270</v>
      </c>
      <c r="U21" s="11" t="s">
        <v>271</v>
      </c>
      <c r="V21" s="11" t="s">
        <v>272</v>
      </c>
      <c r="W21" s="11" t="s">
        <v>273</v>
      </c>
      <c r="X21" s="11" t="s">
        <v>274</v>
      </c>
      <c r="Y21" s="11" t="s">
        <v>275</v>
      </c>
      <c r="Z21" s="12">
        <v>46021</v>
      </c>
      <c r="AA21" s="13">
        <v>0.16715391605916918</v>
      </c>
      <c r="AB21" s="13" t="s">
        <v>96</v>
      </c>
      <c r="AC21" s="14" t="s">
        <v>265</v>
      </c>
      <c r="AD21" s="15" t="s">
        <v>276</v>
      </c>
    </row>
    <row r="22" spans="1:30" x14ac:dyDescent="0.25">
      <c r="A22" s="5">
        <v>21</v>
      </c>
      <c r="B22" s="6" t="s">
        <v>277</v>
      </c>
      <c r="C22" s="7" t="s">
        <v>278</v>
      </c>
      <c r="D22" s="7" t="s">
        <v>279</v>
      </c>
      <c r="E22" s="7" t="s">
        <v>73</v>
      </c>
      <c r="F22" s="7"/>
      <c r="G22" s="8">
        <v>0</v>
      </c>
      <c r="H22" s="8">
        <v>0</v>
      </c>
      <c r="I22" s="8">
        <v>0</v>
      </c>
      <c r="J22" s="8">
        <v>0</v>
      </c>
      <c r="K22" s="8">
        <v>0</v>
      </c>
      <c r="L22" s="9">
        <v>0</v>
      </c>
      <c r="M22" s="8">
        <v>0</v>
      </c>
      <c r="N22" s="8">
        <v>0</v>
      </c>
      <c r="O22" s="8" t="s">
        <v>280</v>
      </c>
      <c r="P22" s="10">
        <v>0</v>
      </c>
      <c r="Q22" s="11">
        <v>0</v>
      </c>
      <c r="R22" s="11" t="s">
        <v>281</v>
      </c>
      <c r="S22" s="11" t="s">
        <v>134</v>
      </c>
      <c r="T22" s="11" t="s">
        <v>282</v>
      </c>
      <c r="U22" s="11" t="s">
        <v>283</v>
      </c>
      <c r="V22" s="11" t="s">
        <v>284</v>
      </c>
      <c r="W22" s="11" t="s">
        <v>285</v>
      </c>
      <c r="X22" s="11" t="s">
        <v>134</v>
      </c>
      <c r="Y22" s="11" t="s">
        <v>286</v>
      </c>
      <c r="Z22" s="12">
        <v>45925</v>
      </c>
      <c r="AA22" s="13" t="s">
        <v>96</v>
      </c>
      <c r="AB22" s="13" t="s">
        <v>96</v>
      </c>
      <c r="AC22" s="14" t="s">
        <v>278</v>
      </c>
      <c r="AD22" s="15" t="s">
        <v>287</v>
      </c>
    </row>
    <row r="23" spans="1:30" x14ac:dyDescent="0.25">
      <c r="A23" s="5">
        <v>22</v>
      </c>
      <c r="B23" s="6" t="s">
        <v>288</v>
      </c>
      <c r="C23" s="7" t="s">
        <v>289</v>
      </c>
      <c r="D23" s="7" t="s">
        <v>290</v>
      </c>
      <c r="E23" s="7" t="s">
        <v>150</v>
      </c>
      <c r="F23" s="7" t="s">
        <v>151</v>
      </c>
      <c r="G23" s="8">
        <v>6660.9289406779662</v>
      </c>
      <c r="H23" s="8">
        <v>6305.3207339000001</v>
      </c>
      <c r="I23" s="8">
        <v>0</v>
      </c>
      <c r="J23" s="8">
        <v>6305.3207339000001</v>
      </c>
      <c r="K23" s="8">
        <v>0</v>
      </c>
      <c r="L23" s="9">
        <v>355.60820677796619</v>
      </c>
      <c r="M23" s="8">
        <v>253.35620840000004</v>
      </c>
      <c r="N23" s="8">
        <v>96.250439999999998</v>
      </c>
      <c r="O23" s="8" t="s">
        <v>291</v>
      </c>
      <c r="P23" s="10">
        <v>0.9466128208324992</v>
      </c>
      <c r="Q23" s="11" t="s">
        <v>75</v>
      </c>
      <c r="R23" s="11" t="s">
        <v>292</v>
      </c>
      <c r="S23" s="11" t="s">
        <v>293</v>
      </c>
      <c r="T23" s="11" t="s">
        <v>294</v>
      </c>
      <c r="U23" s="11" t="s">
        <v>295</v>
      </c>
      <c r="V23" s="11" t="s">
        <v>296</v>
      </c>
      <c r="W23" s="11" t="s">
        <v>297</v>
      </c>
      <c r="X23" s="11" t="s">
        <v>298</v>
      </c>
      <c r="Y23" s="11" t="s">
        <v>299</v>
      </c>
      <c r="Z23" s="12">
        <v>46024</v>
      </c>
      <c r="AA23" s="13">
        <v>0.16695080549290475</v>
      </c>
      <c r="AB23" s="13">
        <v>4.7055080021901952E-2</v>
      </c>
      <c r="AC23" s="14" t="e">
        <v>#N/A</v>
      </c>
      <c r="AD23" s="15" t="s">
        <v>300</v>
      </c>
    </row>
    <row r="24" spans="1:30" x14ac:dyDescent="0.25">
      <c r="A24" s="5">
        <v>23</v>
      </c>
      <c r="B24" s="6" t="s">
        <v>301</v>
      </c>
      <c r="C24" s="7" t="s">
        <v>302</v>
      </c>
      <c r="D24" s="7" t="s">
        <v>302</v>
      </c>
      <c r="E24" s="7" t="s">
        <v>207</v>
      </c>
      <c r="F24" s="7" t="s">
        <v>125</v>
      </c>
      <c r="G24" s="8">
        <v>360.9787</v>
      </c>
      <c r="H24" s="8">
        <v>126.342545</v>
      </c>
      <c r="I24" s="8">
        <v>0</v>
      </c>
      <c r="J24" s="8">
        <v>126.342545</v>
      </c>
      <c r="K24" s="8">
        <v>0</v>
      </c>
      <c r="L24" s="9">
        <v>234.636155</v>
      </c>
      <c r="M24" s="8">
        <v>90.244675000000001</v>
      </c>
      <c r="N24" s="8">
        <v>0</v>
      </c>
      <c r="O24" s="8" t="s">
        <v>303</v>
      </c>
      <c r="P24" s="10">
        <v>0.35</v>
      </c>
      <c r="Q24" s="11" t="s">
        <v>75</v>
      </c>
      <c r="R24" s="11" t="s">
        <v>304</v>
      </c>
      <c r="S24" s="11" t="s">
        <v>185</v>
      </c>
      <c r="T24" s="11" t="s">
        <v>305</v>
      </c>
      <c r="U24" s="16" t="s">
        <v>306</v>
      </c>
      <c r="V24" s="11" t="s">
        <v>307</v>
      </c>
      <c r="W24" s="11" t="s">
        <v>308</v>
      </c>
      <c r="X24" s="11" t="s">
        <v>298</v>
      </c>
      <c r="Y24" s="11" t="s">
        <v>309</v>
      </c>
      <c r="Z24" s="12">
        <v>46023</v>
      </c>
      <c r="AA24" s="13">
        <v>0.1160892003589169</v>
      </c>
      <c r="AB24" s="13">
        <v>0.42701644292272078</v>
      </c>
      <c r="AC24" s="14" t="e">
        <v>#N/A</v>
      </c>
      <c r="AD24" s="15" t="s">
        <v>216</v>
      </c>
    </row>
    <row r="25" spans="1:30" x14ac:dyDescent="0.25">
      <c r="A25" s="5">
        <v>24</v>
      </c>
      <c r="B25" s="6" t="s">
        <v>310</v>
      </c>
      <c r="C25" s="7" t="s">
        <v>311</v>
      </c>
      <c r="D25" s="7" t="s">
        <v>311</v>
      </c>
      <c r="E25" s="7" t="s">
        <v>207</v>
      </c>
      <c r="F25" s="7" t="s">
        <v>125</v>
      </c>
      <c r="G25" s="8">
        <v>352.65960000000001</v>
      </c>
      <c r="H25" s="8">
        <v>158.69682</v>
      </c>
      <c r="I25" s="8">
        <v>0</v>
      </c>
      <c r="J25" s="8">
        <v>158.69682</v>
      </c>
      <c r="K25" s="8">
        <v>0</v>
      </c>
      <c r="L25" s="9">
        <v>193.96278000000001</v>
      </c>
      <c r="M25" s="8">
        <v>52.898940000000003</v>
      </c>
      <c r="N25" s="8">
        <v>0</v>
      </c>
      <c r="O25" s="8" t="s">
        <v>303</v>
      </c>
      <c r="P25" s="10">
        <v>0.45</v>
      </c>
      <c r="Q25" s="11" t="s">
        <v>75</v>
      </c>
      <c r="R25" s="11" t="s">
        <v>312</v>
      </c>
      <c r="S25" s="11" t="s">
        <v>313</v>
      </c>
      <c r="T25" s="11" t="s">
        <v>314</v>
      </c>
      <c r="U25" s="16" t="s">
        <v>315</v>
      </c>
      <c r="V25" s="11" t="s">
        <v>316</v>
      </c>
      <c r="W25" s="11" t="s">
        <v>317</v>
      </c>
      <c r="X25" s="11" t="s">
        <v>298</v>
      </c>
      <c r="Y25" s="11" t="s">
        <v>318</v>
      </c>
      <c r="Z25" s="12">
        <v>46023</v>
      </c>
      <c r="AA25" s="13">
        <v>0.33477114829711141</v>
      </c>
      <c r="AB25" s="13">
        <v>0.67739458815242792</v>
      </c>
      <c r="AC25" s="14" t="e">
        <v>#N/A</v>
      </c>
      <c r="AD25" s="15" t="s">
        <v>216</v>
      </c>
    </row>
    <row r="26" spans="1:30" x14ac:dyDescent="0.25">
      <c r="A26" s="5">
        <v>25</v>
      </c>
      <c r="B26" s="6" t="s">
        <v>319</v>
      </c>
      <c r="C26" s="7" t="s">
        <v>320</v>
      </c>
      <c r="D26" s="7" t="s">
        <v>321</v>
      </c>
      <c r="E26" s="7" t="s">
        <v>207</v>
      </c>
      <c r="F26" s="7" t="s">
        <v>232</v>
      </c>
      <c r="G26" s="8">
        <v>1275.816245</v>
      </c>
      <c r="H26" s="8">
        <v>1073.2477387000006</v>
      </c>
      <c r="I26" s="8">
        <v>0</v>
      </c>
      <c r="J26" s="8">
        <v>1073.2477387000006</v>
      </c>
      <c r="K26" s="8">
        <v>0</v>
      </c>
      <c r="L26" s="9">
        <v>202.5685062999994</v>
      </c>
      <c r="M26" s="8">
        <v>0</v>
      </c>
      <c r="N26" s="8">
        <v>0</v>
      </c>
      <c r="O26" s="8" t="s">
        <v>303</v>
      </c>
      <c r="P26" s="10">
        <v>0.84122438705896918</v>
      </c>
      <c r="Q26" s="11" t="s">
        <v>298</v>
      </c>
      <c r="R26" s="11" t="s">
        <v>322</v>
      </c>
      <c r="S26" s="11" t="s">
        <v>211</v>
      </c>
      <c r="T26" s="11" t="s">
        <v>323</v>
      </c>
      <c r="U26" s="16" t="s">
        <v>324</v>
      </c>
      <c r="V26" s="11" t="s">
        <v>325</v>
      </c>
      <c r="W26" s="11" t="s">
        <v>326</v>
      </c>
      <c r="X26" s="11" t="s">
        <v>298</v>
      </c>
      <c r="Y26" s="11" t="s">
        <v>327</v>
      </c>
      <c r="Z26" s="12">
        <v>46023</v>
      </c>
      <c r="AA26" s="13">
        <v>0.57827592478218215</v>
      </c>
      <c r="AB26" s="13">
        <v>0.51174435922491024</v>
      </c>
      <c r="AC26" s="14" t="e">
        <v>#N/A</v>
      </c>
      <c r="AD26" s="15" t="s">
        <v>216</v>
      </c>
    </row>
    <row r="27" spans="1:30" x14ac:dyDescent="0.25">
      <c r="A27" s="5">
        <v>26</v>
      </c>
      <c r="B27" s="6" t="s">
        <v>328</v>
      </c>
      <c r="C27" s="7" t="s">
        <v>329</v>
      </c>
      <c r="D27" s="7" t="s">
        <v>329</v>
      </c>
      <c r="E27" s="7" t="s">
        <v>73</v>
      </c>
      <c r="F27" s="7" t="s">
        <v>125</v>
      </c>
      <c r="G27" s="8">
        <v>0</v>
      </c>
      <c r="H27" s="8">
        <v>0</v>
      </c>
      <c r="I27" s="8">
        <v>0</v>
      </c>
      <c r="J27" s="8">
        <v>0</v>
      </c>
      <c r="K27" s="8">
        <v>0</v>
      </c>
      <c r="L27" s="9">
        <v>0</v>
      </c>
      <c r="M27" s="8">
        <v>0</v>
      </c>
      <c r="N27" s="8">
        <v>0</v>
      </c>
      <c r="O27" s="8" t="s">
        <v>298</v>
      </c>
      <c r="P27" s="10">
        <v>0</v>
      </c>
      <c r="Q27" s="11" t="s">
        <v>298</v>
      </c>
      <c r="R27" s="11" t="s">
        <v>298</v>
      </c>
      <c r="S27" s="11" t="s">
        <v>211</v>
      </c>
      <c r="T27" s="11" t="s">
        <v>298</v>
      </c>
      <c r="U27" s="11" t="s">
        <v>298</v>
      </c>
      <c r="V27" s="11" t="s">
        <v>330</v>
      </c>
      <c r="W27" s="11" t="s">
        <v>331</v>
      </c>
      <c r="X27" s="11" t="s">
        <v>298</v>
      </c>
      <c r="Y27" s="11" t="s">
        <v>332</v>
      </c>
      <c r="Z27" s="12">
        <v>45982</v>
      </c>
      <c r="AA27" s="13" t="s">
        <v>96</v>
      </c>
      <c r="AB27" s="13" t="s">
        <v>96</v>
      </c>
      <c r="AC27" s="14" t="e">
        <v>#N/A</v>
      </c>
      <c r="AD27" s="15" t="s">
        <v>333</v>
      </c>
    </row>
    <row r="28" spans="1:30" x14ac:dyDescent="0.25">
      <c r="A28" s="5">
        <v>27</v>
      </c>
      <c r="B28" s="6" t="s">
        <v>334</v>
      </c>
      <c r="C28" s="7" t="s">
        <v>335</v>
      </c>
      <c r="D28" s="7" t="s">
        <v>335</v>
      </c>
      <c r="E28" s="7" t="s">
        <v>73</v>
      </c>
      <c r="F28" s="7" t="s">
        <v>125</v>
      </c>
      <c r="G28" s="8">
        <v>108.12905000000001</v>
      </c>
      <c r="H28" s="8">
        <v>10.812905000000001</v>
      </c>
      <c r="I28" s="8">
        <v>0</v>
      </c>
      <c r="J28" s="8">
        <v>10.812905000000001</v>
      </c>
      <c r="K28" s="8">
        <v>0</v>
      </c>
      <c r="L28" s="9">
        <v>97.316145000000006</v>
      </c>
      <c r="M28" s="8">
        <v>0</v>
      </c>
      <c r="N28" s="8">
        <v>0</v>
      </c>
      <c r="O28" s="8" t="s">
        <v>298</v>
      </c>
      <c r="P28" s="10">
        <v>0.1</v>
      </c>
      <c r="Q28" s="11" t="s">
        <v>298</v>
      </c>
      <c r="R28" s="11" t="s">
        <v>298</v>
      </c>
      <c r="S28" s="11" t="s">
        <v>134</v>
      </c>
      <c r="T28" s="11" t="s">
        <v>298</v>
      </c>
      <c r="U28" s="16" t="s">
        <v>336</v>
      </c>
      <c r="V28" s="11" t="s">
        <v>337</v>
      </c>
      <c r="W28" s="11" t="s">
        <v>338</v>
      </c>
      <c r="X28" s="11" t="s">
        <v>298</v>
      </c>
      <c r="Y28" s="11">
        <v>0</v>
      </c>
      <c r="Z28" s="12">
        <v>46017</v>
      </c>
      <c r="AA28" s="13" t="s">
        <v>96</v>
      </c>
      <c r="AB28" s="13" t="s">
        <v>96</v>
      </c>
      <c r="AC28" s="14" t="e">
        <v>#N/A</v>
      </c>
      <c r="AD28" s="15" t="s">
        <v>339</v>
      </c>
    </row>
    <row r="29" spans="1:30" x14ac:dyDescent="0.25">
      <c r="A29" s="18">
        <v>28</v>
      </c>
      <c r="B29" s="19" t="s">
        <v>340</v>
      </c>
      <c r="C29" s="20" t="s">
        <v>341</v>
      </c>
      <c r="D29" s="20" t="s">
        <v>342</v>
      </c>
      <c r="E29" s="20" t="s">
        <v>73</v>
      </c>
      <c r="F29" s="20" t="s">
        <v>87</v>
      </c>
      <c r="G29" s="21">
        <v>1640</v>
      </c>
      <c r="H29" s="21">
        <v>0</v>
      </c>
      <c r="I29" s="21">
        <v>0</v>
      </c>
      <c r="J29" s="21">
        <v>0</v>
      </c>
      <c r="K29" s="21">
        <v>0</v>
      </c>
      <c r="L29" s="22">
        <v>1640</v>
      </c>
      <c r="M29" s="21">
        <v>0</v>
      </c>
      <c r="N29" s="21">
        <v>0</v>
      </c>
      <c r="O29" s="23" t="s">
        <v>343</v>
      </c>
      <c r="P29" s="24">
        <v>0</v>
      </c>
      <c r="Q29" s="25" t="s">
        <v>344</v>
      </c>
      <c r="R29" s="25" t="s">
        <v>345</v>
      </c>
      <c r="S29" s="25" t="e">
        <v>#N/A</v>
      </c>
      <c r="T29" s="25" t="s">
        <v>346</v>
      </c>
      <c r="U29" s="26" t="s">
        <v>347</v>
      </c>
      <c r="V29" s="25" t="s">
        <v>351</v>
      </c>
      <c r="W29" s="25" t="s">
        <v>351</v>
      </c>
      <c r="X29" s="25" t="s">
        <v>348</v>
      </c>
      <c r="Y29" s="25" t="s">
        <v>351</v>
      </c>
      <c r="Z29" s="27">
        <v>0</v>
      </c>
      <c r="AA29" s="28" t="s">
        <v>96</v>
      </c>
      <c r="AB29" s="28" t="s">
        <v>96</v>
      </c>
      <c r="AC29" s="29" t="s">
        <v>341</v>
      </c>
      <c r="AD29" s="30" t="s">
        <v>349</v>
      </c>
    </row>
  </sheetData>
  <conditionalFormatting sqref="T2:Y29 P2:R29">
    <cfRule type="dataBar" priority="1">
      <dataBar>
        <cfvo type="num" val="0"/>
        <cfvo type="num" val="1"/>
        <color rgb="FF008AEF"/>
      </dataBar>
      <extLst>
        <ext xmlns:x14="http://schemas.microsoft.com/office/spreadsheetml/2009/9/main" uri="{B025F937-C7B1-47D3-B67F-A62EFF666E3E}">
          <x14:id>{536B0E92-FC9E-42C9-9C5C-54133B4F254E}</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536B0E92-FC9E-42C9-9C5C-54133B4F254E}">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T2:Y29 P2:R29</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2026-01-02T05:21:30Z</dcterms:created>
  <dcterms:modified xsi:type="dcterms:W3CDTF">2026-01-02T05:21:32Z</dcterms:modified>
</cp:coreProperties>
</file>