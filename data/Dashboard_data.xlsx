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EB078446-35CA-4CBA-A20C-AADA476E3F86}" xr6:coauthVersionLast="47" xr6:coauthVersionMax="47" xr10:uidLastSave="{00000000-0000-0000-0000-000000000000}"/>
  <bookViews>
    <workbookView xWindow="-120" yWindow="-120" windowWidth="20730" windowHeight="11040" xr2:uid="{56A0ADD5-2A2A-4F35-909D-AAAF4DFEAB43}"/>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<sst xmlns="http://schemas.openxmlformats.org/spreadsheetml/2006/main" count="653" uniqueCount="433">
  <si>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</si>
  <si>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</si>
  <si>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</si>
  <si>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</si>
  <si>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</si>
  <si>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</si>
  <si>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</si>
  <si>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</si>
  <si>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</si>
  <si>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</si>
  <si>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</si>
  <si>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</si>
  <si>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</si>
  <si>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</si>
  <si>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</si>
  <si>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</si>
  <si>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</si>
  <si>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</si>
  <si>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</si>
  <si>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</si>
  <si>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</si>
  <si>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</si>
  <si>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</si>
  <si>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</si>
  <si>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</si>
  <si>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</si>
  <si>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</si>
  <si>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</si>
  <si>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</si>
  <si>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</si>
  <si>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</si>
  <si>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</si>
  <si>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</si>
  <si>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</si>
  <si>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</si>
  <si>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</si>
  <si>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</si>
  <si>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</si>
  <si>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</si>
  <si>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</si>
  <si>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 xml:space="preserve">Bill till March
Pending 2 months for payment collection
---------------------------------------------------------------------------------------------------------
S.no     Bucket name                  No. of Tasks
  1.      No Status                        15
  2.      Estimation                       10
  3.     Designing                          9
  4.     To Do                             25
  5.     In Progress                       8
  6.     Under QA Testing                   1
  7.     User Acceptance Testing (UAT)      28
  8.     Released on Production           339
  9.     Closed                           139
</t>
  </si>
  <si>
    <t>4 tasks planned</t>
  </si>
  <si>
    <t>HTML,CSS,React,java, spring boot,Elastic,mysql AWS,Postman,Jenkins,CI/CD,Kibana,GIT,Docker</t>
  </si>
  <si>
    <t>Pending 2 months for payment collection</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</si>
  <si>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</si>
  <si>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</si>
  <si>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</si>
  <si>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</si>
  <si>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</si>
  <si>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</si>
  <si>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</si>
  <si>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</si>
  <si>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Current Status:
1. 25 resources on-boarded. (16 resources from GAIA – 09 from CMS)
2. Payment received till Feb’26. Invoicing for Mar’26 is done
3. New requirement received for CB, IEC MIS fields &amp; SWM modules. Development ongoing for IEC.
4. New SBM Dashboard ver2.0 (SWM, UWM, Legacy waste &amp; Toilets): C&amp;D, CB, IEC dashboard to be developed.
5. New Mission Dashboard-Integrated in Swachhatam portal, State/ULB based access work done, to be tested
6. GFC Scoring module documentation: documentation ongoing.
7. Website updates ongoing: SBM Journey, Trash Tales, Banner Updated.
8. Provided Data for State meetings on 23rd Apr.
9. Swachh City : bug fixing ongoing.
10. ODF instance tested, handed over to ADB
11. Whatsapp integration with Swachhata App: question updation ongoing.
12. ODF mobile app revamp completed, testing &amp; bug fixing ongoing
13. GMIS Dashboard-API changes ongoing, need to Sync-up with ESRI
14. Action Plan : issue fixing, SLTC level approval are ongoing. 
15. Support issues analysis
16. Data shared got Pragati Meeting
</t>
  </si>
  <si>
    <t xml:space="preserve">Upcoming  activities:
1. Maintenance activities: Daily ULB support, Website changes ongoing.
2. New SBM Dashboard 2.0 development: Data verification ongoing by QA &amp; DBA.
3. SS Activities : DB changes ongoing for VFYC and other portal &amp; mobile apps. Citizen feedback questionnaire uploaded.
4. Swachh City: Fixing ongoing for minor issues. 
5. ODF instance prepared for ADB, will share today
6. All Dashboards-Bug fixing ongoing
7. GMIS Dashboard-Data verification ongoing, issues fixed by ESRI
8. MIS data : apply validation on fields : Analysis done, need to discuss &amp; finalize plan after State meeting
9.Provide Data for Pragati meeting
</t>
  </si>
  <si>
    <t>Angular, AWS Cloud, mySQl, Posgresql, NodeJS, Java, MongoDB, RESTAPI, HTML, PHP, MicroService, Quicksight,CSS, Flutter</t>
  </si>
  <si>
    <t xml:space="preserve">Major Challenges:
Need Replacement of Technical Team lead &amp; Tester ASAP
Interviews are ongoing to replace remote team members
Need ArcGIS resource in place of BI developer
</t>
  </si>
  <si>
    <t>Anoop K</t>
  </si>
  <si>
    <t>ORGI</t>
  </si>
  <si>
    <t>orgi OFFICE OF REGISTRAR GENERAL OF INDIA - CRS</t>
  </si>
  <si>
    <t>OFFICE OF REGISTRAR GENERAL OF INDIA - CRS</t>
  </si>
  <si>
    <t>2 Years</t>
  </si>
  <si>
    <t>Start Date (PO) : 02-Apr-24 :: End Date (PO) : 01-Apr-26</t>
  </si>
  <si>
    <t>23 +  3 ( 2 shift in other project + 1 left )</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</si>
  <si>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</si>
  <si>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</si>
  <si>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 State onboard is on going.
. Receive and provide Data from Non CRS State through API.
. AADHAR , TRANSLITRATION and Payment Integrations.
. DB,System performance and monitoring continue above 99.6 % availability.
. Bag resoluation
. Development of new Module is under process as per CRS requirement in Web ,iOAS and Android App.
. Oracle Interactive Analytics Dashboard for Statistics with dynamic charts and KPIs,</t>
  </si>
  <si>
    <t xml:space="preserve">Jan Payment Approval pending from RGI.
Feb and March attendance and Document verification ongoing.
DAST and VAPT Security Audit
Bulk cancellation of certificate
Strenghten of User prrofile.
Entered Legacy data approved by DR
Issue resoluation </t>
  </si>
  <si>
    <t>Node JS, Android, iOS, ORACLE database , REST, API design, HTML, CSS, JavaScript, JSON, IIS/ Apache, Linux, Aadhaar Vault, NSDL PayGov, C-DAC</t>
  </si>
  <si>
    <t>1 Priyanka,Rewati and Sahil Replacement as a developer
2 Replacement of DBA , DBA resigned from his post
3 Telengana State Onboarding on CRS Portal- 1st May April7 
4 OS Patch upgradation in production.
5 GOA onboarding fro 15 May</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</si>
  <si>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</si>
  <si>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</si>
  <si>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</si>
  <si>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</si>
  <si>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</si>
  <si>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</si>
  <si>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</si>
  <si>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</si>
  <si>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</si>
  <si>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</si>
  <si>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</si>
  <si>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We have started working on the saddhit actions plan.
Along with Fraudulent activity support. Nothing is on priority except This issue. Few solutions need to implement for this which will be on priority.
CCR sent to VAPT.
We have provided all the verified details for CIS.</t>
  </si>
  <si>
    <t xml:space="preserve">Validating data for 20% payment.
Conducting joint meetings with New MA team for Process understanding if any changes.
Reducing tickets which are open from 20 Days.
</t>
  </si>
  <si>
    <t>Java Struts, For upgrade - TBD</t>
  </si>
  <si>
    <t xml:space="preserve">Ticket count is not reducing. 
Delay in Attendance Software delivery.
No approval will be granted for Forgot to mark attendance.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</si>
  <si>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</si>
  <si>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</si>
  <si>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</si>
  <si>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</si>
  <si>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</si>
  <si>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</si>
  <si>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</si>
  <si>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13</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</si>
  <si>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</si>
  <si>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</si>
  <si>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Work is currently underway to stabilize the system, and we are actively addressing the reported issue. At the same time, parallel discussions are ongoing to close the training milestone. We have formally requested closure of the training phase, after which stabilization will follow. Internal discussions are in progress within PFRDA, and the training may be scheduled for next week.</t>
  </si>
  <si>
    <t>Closure of Training and Stabilization Phase</t>
  </si>
  <si>
    <t>Spring Boot, Odoo, React JS, Apache, PostgreSQL, Postman, Moodle, Figma, Ubuntu, AWS Cloud, Flutter, React, Node JS</t>
  </si>
  <si>
    <t>A high-level meeting is required with CMS and PFRDA senior management to finalize the closure of the stabilization phase and initiate O&amp;M.</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</si>
  <si>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</si>
  <si>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</si>
  <si>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</si>
  <si>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</si>
  <si>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</si>
  <si>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</si>
  <si>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</si>
  <si>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</si>
  <si>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3 &amp; 4 - 382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</si>
  <si>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</si>
  <si>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Overall Progress
→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changes,RFI Bug Fixes, RSA Bug Fixes
- Requirement gathering done for
1. On boarding of DPR Consultant, 2. Physical and Financial Progress, 3. User fees agency, 4. Digital O &amp; M MPR, 5. LAC-1 (Alignment Approval), 6. LAC- 2 (Plan approval), 7. Critical Issues and Actions, 8. Digital MPR(Construction),9. LOA Issuance to Contractor, 10. Outstanding Payment, 11. Payment for Contractor/Concessionaire during construction, 12. Onboarding of consultant(AE/IE/SC), 13. Monitoring 3A, 14. Monitoring 3D, 15. 3G Declaration of Award, 16. 3 H Payment Land Aquisition,17. BID document preparation CO, 18. BID invitation CO, 19.LOA issuance to AE/IE SC and Agreement signing, 20.Financial Closure, 21. Issue of appointment date,22 Application Permits,23 Joint Memorandum of Handing over of Land or providing ROW,24 Utility Shifting,25 DPR Preparation Submission and Review,26 Submission and Approval of Work Programme, 27. Contractor manpower Deployment, 28. Equipment Deployment, 29. Construction Methodology,
- Requirement gathering in progress for
1.Toll Collection API,  2. Design and Drwaing Submission Revision, 3. Submission and Approval of Work Programme, 4. Contractor manpower Deployment, 5. Equipment Deployment, 6. Construction Methodology, 7. Quality Assurance Plan, 8. Quality Inspection by SRDQ, 9. Quality Inspection by PD / RO / GM, 10. EoT, 11. CoS/Withdrawl of Work, 12. Surplus Land Monitoring, 13. PCC / PCOD, 14. Punchlist Monitoring, 15. CC / COD, 16. payment for DPR, 17.Toll Asset Management API, 18. Termination of contract, 19.Blacklisting of agencies individuals,, 20. PATSC/IAC Appraisal and approval, 21. SFC Approval, 22. EFC Approval, 23. PPAC Approval, 24. Project Secession,
- Requirement Pending
1.Stripe Charts
- Design in Progress
Utility Shifting,
CC/ COD
- Modules development in progress on
Payment For Contractor/Concessionaire during maintenance period
Onboarding of Consultant (AE/IE/SC)
Contractor Onboarding
LOA Issuance to AE/IE/SC &amp; Agreement signing
Bid Document Preparation (CO)
Bid Invitation (CO)
Bid Evaluation (CO)
LoA Issuance to Contractor
Agreement-Contractor/ Concessionaire
Issue of Appointment Date
Financial Closure( in PPP Projects)
Critical Issues and Actions
RSA Offline
- Modules in QA/UAT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 Enhancements
RM
AMS
Issuance Of NCR
NSV
DAMS
RSA Offline
- Miscellaneous(Blockers)
API Performance
Query Optimisation
API versioning
Security fixes - generic to all module
Data Migration
</t>
  </si>
  <si>
    <t xml:space="preserve">→ Deployment Of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t>
  </si>
  <si>
    <t>No-SQL, Ruby, Python, Java, HTML, CSS, JavaScript, Angular, React, GIS/ML, Cloud - TBD, Node JS, Rest API</t>
  </si>
  <si>
    <t>→ Immediate requirement of 20 New Resources(8 - Frontend + 8 - Backend + 2 - QA) , 2 - UI/UX, Replacement of BA's, immediately to complete all modules by 31st May.
→ Phase II timelines are tight considering the workload and late onboarding of additional resources.
→ Replacement of BAs still pending
→ Replacement of Deepanshu still pending
→ Scope addition / Change Requests in ongoing development, even on the final day</t>
  </si>
  <si>
    <t>Rakesh S / Rajni P</t>
  </si>
  <si>
    <t>DAnFW</t>
  </si>
  <si>
    <t>DEPARTMENT OF AGRICULTURE CORPORATION AND FARMER WELFARE DIVISION MINISTRY MAOFW DANFW DACFW dept of agri.</t>
  </si>
  <si>
    <t>DEPT OF AGRICULTURE CORP &amp; FARMER WELFARE</t>
  </si>
  <si>
    <t>Start Date (PO) : 05-Dec-24 :: End Date (PO) : 04-Dec-26</t>
  </si>
  <si>
    <t>51</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</si>
  <si>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</si>
  <si>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</si>
  <si>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March -26 : Attendance verification in progress
1] Krishi Mapper :
A. KM 2.0 : Testing in progress for user management and data quality check(DQC). Developement is in progress for main dashboard and report section.
B. KM 2.0 mobile APP : Testing in progress for single login for multiple scheme along with data check in report section.
C.. KM 2.0 server infrastructure : discussion is going for server infrastructure upgradation for optimized site.
D .Offline mode for demonstration : bug fixing of testing input. Need to complete in mid next week. 
E .POS : User Management in progress
F. POS Mobile APP : Development need to done for the changes discussed.
G. M&amp;T Edit option in mobile APP : Need to deliver by Friday 17th with full testing.
H. Delete option for differnt scheme on mobile APP : For some scheme like NF,NMEO-OS it has been done. 
2]. KY portal : Working on the VAPT points. 
3]. Agristack Dashboard : 
1.DCS dashboard :Waiting from third party for the updated API
2.FR Dashboard : Data verification has been in progress. Karnataka Data has issue..Continuous discussion with third party.</t>
  </si>
  <si>
    <t xml:space="preserve">1.KM2.0 Mobile APP development
2. KM 2.0 User management development
3. POS mobile APP
4. Offline Demonstration </t>
  </si>
  <si>
    <t>C#, ASP.NET, MVC, .NET Core, Visual Studio, HTML5, CSS3, RESTful API, MERN, flutter, react Native, MS SQL, e-Office</t>
  </si>
  <si>
    <t>Priority task changes frequently which affect the development.
addition / Change Requests in ongoing development</t>
  </si>
  <si>
    <t>Sumankumar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</si>
  <si>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</si>
  <si>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</si>
  <si>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</si>
  <si>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</si>
  <si>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</si>
  <si>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</si>
  <si>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</si>
  <si>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</si>
  <si>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Q2, Q3 &amp; Q4 Manpower and existing Infra payment released and Q1 &amp; Q2 New BOQ 2% payment released.
2. Q5(Nov.25 to Jan.26) &amp; Q3 new BOQ bill submitted to client as on 6th April for SLA Calculation completed yesterday and payment file move to E-gov. Manager for note sheet process.
3. Total 33 Manpower deployed at Gwalior ICCC Project.
4. ISO 27001 &amp; 20000 Certification due to some points approval pending from client side. (Letter submitted to client but there is no response)
5. Consumable Items(Printer repair and house keeping etc.) Payment 51769 received  on 22nd April. 26</t>
  </si>
  <si>
    <t>Q5(Nov.25 to Jan.26) &amp; new BOQ Q3(Oct.25 to Dec.25) payment follow up to client.
2. Cooling system not working properly mail drop to vendor and close this issue ASAP.
3. Insurance team payment follow up in ICCC videowall and switches. (Email drop to PMO &amp; Legal team) 
5. San storage Controller replaced working properly now.
6. Breakdown issues and PM activity going on of ICCC and DC.
7.Boundary wall work PO received to vendor work will start as per agreement.
8. Cooling system not working in ICCC- Vendor visited but PCB card faulty not arrange till date follow up going on.</t>
  </si>
  <si>
    <t>NA</t>
  </si>
  <si>
    <t>IT Equipment like server, Tape library &amp; switch and San storage AMC not start yet.(this is very critical, as per our RFP in Tape library take 6 months camera feed and other storage but currently there is no solution )-Pending from HO &amp; Purchase team.
2.For ISO CERTIFICATION PUSH TO Client FROM OUR SALES TEAM.-Letter submit to client for help to close ISO.
3.One server failure issue. there is no AMC.-Email drop and discuss to vendor for this.
4. as per RFP we can raise invoice after one year completion 4% increment amount but consultant is deny for this. we can discuss internally  HR and management team for this final solution.</t>
  </si>
  <si>
    <t>Sachin S</t>
  </si>
  <si>
    <t>Kanpur SC O&amp;M</t>
  </si>
  <si>
    <t>Kanpur SC O&amp;M tech mahindra TECHM</t>
  </si>
  <si>
    <t>42 month</t>
  </si>
  <si>
    <t>Start Date (PO) : 01-Jan-23 :: End Date (PO) : 25-Jun-26</t>
  </si>
  <si>
    <t>45</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</si>
  <si>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</si>
  <si>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</si>
  <si>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 Jan23 to Jun25 (Total 10 quarters payment released- 75%)
2) Billing done for AMJ’25 Qtr amounting to INR 3.81 Lacs</t>
  </si>
  <si>
    <t xml:space="preserve">1) Inventory verification to compare the record of client’s inventory sheet provided. 
2) Polycom equipment for conducting virtual meet to be made functional.
3)Conducting Preventive Maintenance plan for the sites.
4) With 5 sites completed, for expedition of ANPR camera installation at Entry-EXIT locations of 10 sites proposed from client temporarily kept on hold due to bandwidth issue.
5) As per the meeting with Videonetics in Jan’26 the response from them remains awaited for UAT towards their implemented ITMS application towards compliance requirement from client.
6) Conducting onsite survey for forecasting of material requirement for pending location from ATCS-23 junction works.
7) To survey with metro team of routes where the KSCL is requested to dismantle the solutions for movement of material in and out of metro – currently kept on hold due to information of route change but no official info received 
8) Discussion with Tech-M towards commercial quotation provided for 4 routes where dismantling is instructed from Setu Nigam Dept.
9) Weekly testing for onsite Speed Calibration for ITMS-SVD
10) Coordination with Tech-M for Metro &amp; Shifting site Inventory consolidation
11) Reimbursement of recurring charges from Tech-M
12) Follow-up with purchase on procurement of batteries, LED Screen Hub Board.
13) Coordination with purchase for requirement of 50 sims for EMS device.
14) Expedition on 14 sites out of ATCS -23 junctions for making it operational, permissions awaited.
15) Troubleshooting of Videonetics ITMS application exhibiting “0” kmph.
16) Response awaited from vendor for VMSB issue resolution to make it live.
17) Coordination with Sudhir sir for Li-Ion Batteries.
18) Replacement of batteries at D.C on priority.
19) Hiring of 2 people for 2 position in the project i.e. ICCC Operator (Qty:1), Senior Field Engg.(Qty:1) 
20) Coordination with purchase team for delivery of 140 traffic sensors. 
21) Coordination with internal team for vendor management.
22) Pending vendor payments for Reliance Communication. 
23) Meeting with field team to investigate the Theft control of devices deployed onsite.
</t>
  </si>
  <si>
    <t xml:space="preserve">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9)Client’s requirement of inventory list.
10) IT- Trade Licenses renewal
11) Smart parking- Nov Star multimedia player, LED Screen Hub Board &amp; Receiving Card delay in procurement will also delay the delivery of solution to client.
13) 140 smart parking sensors delivery pending to be procured/received for the project.
14) Unavailability of 50 sims can be a pain point while handover.
15) Pending vendor payments of Reliance Communication.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</si>
  <si>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</si>
  <si>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</si>
  <si>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</si>
  <si>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</si>
  <si>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</si>
  <si>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</si>
  <si>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</si>
  <si>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</si>
  <si>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</si>
  <si>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October November AMC payment is processed yesterday from NMPA 
Remaining bills are in progress upto March 2026.
Oil jetty order need to be accepted.
Mobile app estimate should be given to NMPA 
Adhar integration estimate should be given to NMPA 
</t>
  </si>
  <si>
    <t xml:space="preserve">Operation and maintenance 
Payment following up </t>
  </si>
  <si>
    <t xml:space="preserve">Oil jetty order execution </t>
  </si>
  <si>
    <t>Prashant P</t>
  </si>
  <si>
    <t>Vadodara Traffic</t>
  </si>
  <si>
    <t>VADODARA VMC TRAFFIC</t>
  </si>
  <si>
    <t>SITC 4 Mths  &amp;  O&amp;M -  5 Yrs</t>
  </si>
  <si>
    <t>After SITC</t>
  </si>
  <si>
    <t>Start Date (PO) : 26-Feb-24 :: End Date (PO) : 25-Jun-29</t>
  </si>
  <si>
    <t xml:space="preserve">shared resources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</si>
  <si>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</si>
  <si>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</si>
  <si>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</si>
  <si>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.Invoice Process follow up
2. New software testing UCON 12
3. O &amp; M activity</t>
  </si>
  <si>
    <t>7 no UCON controller need to update.
7 no location battery stolen which is under insurance</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</si>
  <si>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</si>
  <si>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</si>
  <si>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</si>
  <si>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</si>
  <si>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</si>
  <si>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</si>
  <si>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</si>
  <si>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1.Second year third quarter continue
2. O &amp; M activity</t>
  </si>
  <si>
    <t>1.O &amp; M activity
2. DR Deployment</t>
  </si>
  <si>
    <t>1.17 no old UCON controller need to change
2. 300 no LED module need to replace with OEM
3. 50 no LED module need to collect from LUMINA
4. C1 &amp; C2 project battery needs to replace with HBL &amp; EATON
5. Gandhi Nagar 2 no controller replacement pending</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</si>
  <si>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</si>
  <si>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</si>
  <si>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</si>
  <si>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</si>
  <si>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</si>
  <si>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</si>
  <si>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</si>
  <si>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</si>
  <si>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CDO sir prepared the note sheet of Milestone 4 and 5.
2. Physical site survey are ongoing for Installed and commissioned material. Expected to complete by Friday.</t>
  </si>
  <si>
    <t>1, Planned to complete the Physical site survey within this week such that photographs and site pic will submit as per Account department requirements.</t>
  </si>
  <si>
    <t>Multiple Issue are happening at Indore location which indirectly hampering the file movement.</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</si>
  <si>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</si>
  <si>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</si>
  <si>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</si>
  <si>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</si>
  <si>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</si>
  <si>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</si>
  <si>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</si>
  <si>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</si>
  <si>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</si>
  <si>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Working on UI enhancements. Applying Bootstrap</t>
  </si>
  <si>
    <t>FA CO modules development is in progress.</t>
  </si>
  <si>
    <t>Core Java, BIRD tool, postgre, ESDS cloud</t>
  </si>
  <si>
    <t>Project is on hold</t>
  </si>
  <si>
    <t/>
  </si>
  <si>
    <t>Sridhar T</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</si>
  <si>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</si>
  <si>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</si>
  <si>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</si>
  <si>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</si>
  <si>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</si>
  <si>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</si>
  <si>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</si>
  <si>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</si>
  <si>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Hardware and software UAT done. Handover activities done. 
3.	VMD: 10/10 Nos. VMD foundation done and Display installed. Application installed, commissioning &amp; integration with ICCC application done.  Earth-pit installation done. For all 10 Nos. VMD Cable laying, connection done. Due to Meter power, UPS power not available and Network also not available from Honeywell end 2 Nos. VMD still power on activities pending. Hardware and Software UAT done. System handover activities completed.
4.	ECB: 20/20 Nos. ECB enclosure foundation &amp; installation done, all 20 ECB installation done and power on. Application installed and commissioning done and UAT done. Integration with ICCC application not yet completed by Trinity and Sparsh.  Sparsh ECB hardware LAN connectivity issue temporarily resolved by CMS filed team Only. Stil Sparsh not given any solutions. Hardware and Software UAT done and handover activities done. 
5.	GIS application installation and integration done. Application UAT done and system handover activities done. 
6.	8 No. EVS power on. 2 EVS still Power off due to power not available from HW team. Application and integration done. Hardware and Software UAT done and handover activities done. 
7.	99% billing done.  87.53% payment received. 
</t>
  </si>
  <si>
    <t xml:space="preserve">1.	Go-Live Signoff.  </t>
  </si>
  <si>
    <t xml:space="preserve">1.	ECB/PA OEM (Sparsh) is not supporting properly. 
2.	They Have hardware issues and Application issues. 
3.	Sparsh 5 Nos ECB Are found faulty. Need urgent support from them.
4.	Sparsh ECB TCP/IP connectivity not happening. 
</t>
  </si>
  <si>
    <t>Arindam R</t>
  </si>
  <si>
    <t>MCS - L&amp;T</t>
  </si>
  <si>
    <t xml:space="preserve">Mumbai city surveillance larsen and toubro mcs </t>
  </si>
  <si>
    <t>Mumbai City Surveillance</t>
  </si>
  <si>
    <t>3 months</t>
  </si>
  <si>
    <t>Start Date (PO) : 31-Dec-25 :: End Date (PO) : 04-Mar-26</t>
  </si>
  <si>
    <t>224</t>
  </si>
  <si>
    <t>72.86 L</t>
  </si>
  <si>
    <t>Viewing Manpower in 4 shifts including backup to cover 203 shifts daily.</t>
  </si>
  <si>
    <t>2 Candidates Documentation process is in progress for Training.
3 Candidate is lined up for interview this week.
November-2025 partial Collection received</t>
  </si>
  <si>
    <t>3 candidates Interview for this week
AR Collection follow-up with Customer
PF &amp; ESIC Challan follow-up with Vendor Million Minds</t>
  </si>
  <si>
    <t>Need to deploy Operator's in Mantralaya because frequent Shortfall 
Follow-up for November-2025 AR Collection</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</si>
  <si>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</si>
  <si>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</si>
  <si>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</si>
  <si>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</si>
  <si>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</si>
  <si>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</si>
  <si>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</si>
  <si>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</si>
  <si>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</si>
  <si>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</si>
  <si>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Hardware Supply: Completed as per BOQ and timelines; fully billed.
IT &amp; EEMS Setup: Infrastructure, servers, and EEMS software fully deployed and ready for live operation.
Substations (1, 2 &amp; 3): Data integration setup completed and tested; live data pending due to network unavailability.
Main Substation (SCADA): Integration on hold due to protocol mismatch (MODBUS vs IEC) and pending commercial agreement.
ABT Meters: Installation not finalized due to technical constraints and pending decision from JNPA.
Billing Meters: Fully operational; communication established and billing functioning smoothly.
RMU Panels: Integration pending due to incomplete LAN/OFC network.
Water Flow Meters: Installation in progress; partial completion achieved, balance planned.</t>
  </si>
  <si>
    <t>Completion of 400 MM water meter installation subject to outage availability from JNPA</t>
  </si>
  <si>
    <t>PostgreSQL, DLMS, MODBUS, GPRS, Python, DotNet MVC</t>
  </si>
  <si>
    <t xml:space="preserve">Network Unavailability: No LAN/OFC connectivity across JNPA is delaying live data flow and multiple integrations.
SCADA Integration Dependency: Integration stuck due to protocol mismatch (MODBUS vs IEC) and pending commercial agreement with GE.
ABT Meter Installation Constraints: Technical limitation (no spare metering core on HV side) and no final decision from JNPA.
Third-Party Dependencies: Progress dependent on GE SCADA, MSETCL inputs, and JNPA approvals.
RMU Communication Delay: Integration pending until OFC network is commissioned.
Water Meter Installation Delays: Dependent on site conditions (pipeline readiness, approvals, shutdowns).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</si>
  <si>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</si>
  <si>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</si>
  <si>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</si>
  <si>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</si>
  <si>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</si>
  <si>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</si>
  <si>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</si>
  <si>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</si>
  <si>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</si>
  <si>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</si>
  <si>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
Overall Second Phase Development – Completed
Internal Security Audit Implementation – Completed
Third Party Security Implemented – Completed (Waiting for certificate)
Third Phase Tasks Analysis – Completed
Register activation post QAP approval – Completed
WPSS Forms conditional logic – Completed
QAP Part B not editable for Standard Girder – Completed
Standard Case: QAP Part B restricted from moving to RDSO after CBE – Completed
Step Loading / Staging Flow – Completed
RDSO Certificate in Hindi
Role &amp; Designation Menu Mapping
Seek Clarification Workflow
Morth Workflow Approval 
</t>
  </si>
  <si>
    <t xml:space="preserve">WPSS edit
Figma for mobile
</t>
  </si>
  <si>
    <t>JAVA 20, Springboot, PostgreSql, React, AWS Cloud, Microservices, Postman, Apache Tomcat webserver, SSL, Oauth, AWS ECS</t>
  </si>
  <si>
    <t xml:space="preserve">Resource onboarding
Continuous requirement changes 
</t>
  </si>
  <si>
    <t>DIC NOC</t>
  </si>
  <si>
    <t>DIGITAL INDIA CORP - NOC</t>
  </si>
  <si>
    <t>9 months + O&amp;M</t>
  </si>
  <si>
    <t>Start Date (PO) : 03-Jul-25 :: End Date (PO) : 02-Jan-27</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</si>
  <si>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</si>
  <si>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Special Conditions &amp; Approval (done)
Clarification Workflow (done)
General Portal-Level Enhancements
BharatNet Project Applications</t>
  </si>
  <si>
    <t xml:space="preserve">● Facility to allow selection beyond mapped location to be enabled.					
○ Such applications shall be transferred to Nodal Officer (NHAI) as default.					
○ For the North-East region, NHIDCL Nodal Officer shall be assigned by default.					
● Applications need to be transferred at any stage to enhance functionality to any PIU or RO. Transfer Application window shall be available for all.					</t>
  </si>
  <si>
    <t>Hemant S / 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</si>
  <si>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</si>
  <si>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</si>
  <si>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</si>
  <si>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</si>
  <si>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</si>
  <si>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13+1</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</si>
  <si>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</si>
  <si>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
→ Annual increment of up to 10% in man month work order cost every year in accordance with the performance of resource</t>
  </si>
  <si>
    <t>1. All open issues and improvements of CC mudule are done
2. All isuues/improvement requests of HRMS have been released on Staging and demonstrated to the respective users
3. Addition of Unit Listing, Booking Lising, Cron job  for Banding module (Admin)
4. Networking module in the Mobile App has been developed and demonstrated to ITPO during weekly review meeting
5. SBI payment gateway implementation (test environment)
6. Vulnerability, SQL query report, API performance report, Application bug report have been created by the DevOps
7. System Architecture Document creation for Exhibition Layout Automation</t>
  </si>
  <si>
    <t xml:space="preserve">1. New CC booking issues/improvements implementation (Implement slot-reservation/blocking logic during Edit Request (pending approval window; Enforce same slot (10 AM–10 AM) for mounting, event, and dismounting; remove auto 12:00 default; Verify and correct all migrated events to 10–10 slot (except those explicitly confirmed as 12–12); Update/correct Govt/Private &amp; Ticketed/Non-Ticketed classification of all migrated events in collaboration with ITPO officials)
</t>
  </si>
  <si>
    <t>- Backend: Node.js (Java script- Nest.Js Framework)
- Frontend: Angular
- DB: MySQL</t>
  </si>
  <si>
    <t>1. CC booking user adoption has been a challenge as the team is still incliened towards going with the manual booking.</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</si>
  <si>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</si>
  <si>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</si>
  <si>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</si>
  <si>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</si>
  <si>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</si>
  <si>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</si>
  <si>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</si>
  <si>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</si>
  <si>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</si>
  <si>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</si>
  <si>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</si>
  <si>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</si>
  <si>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</si>
  <si>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</si>
  <si>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</si>
  <si>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</si>
  <si>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</si>
  <si>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</si>
  <si>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</si>
  <si>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O&amp;M 2 year, first two quarters bills has been cleared.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Commercial submitted of Alappey 5 new Siren requirement with a value of 3.15Cr. TSG conducted and it is asked the given quote is very high and needs to rework on this. We are taking a commercial concurrence on this.</t>
  </si>
  <si>
    <t xml:space="preserve">Work Order for UPS battery purchase.
Clearance of last two quarters bills
AMC renewal work order
Follow up for Wayanad 5 new Siren project order. TSG has been approved the amount of 4Cr and file is under Disaster Management Department for further financial approvals.
Commercial submission for Air Ride Siren proposal.
</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</si>
  <si>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</si>
  <si>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</si>
  <si>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</si>
  <si>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</si>
  <si>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</si>
  <si>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</si>
  <si>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</si>
  <si>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</si>
  <si>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</si>
  <si>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	9/20 Qrt. billing done.  
•	ATCS, ECB, PA, VMD, GPS and VDC maintenance work going on.
•	 Quarterly PM report submitting as per the BSCL and SPCL requirement.
•	ERP solutions developing work still going on. As per the BSCL and MD instructions almost all modules development done. Some development parts still pending. Request for services module not yet done.
•	Trade license, building plans, Property Tax, Grievances, Web Portal, modules handed over to Nagar Nigam.
•	RFS module partially done. 
</t>
  </si>
  <si>
    <t xml:space="preserve">1.	Updated Property Tax data needs to be uploaded in our system. </t>
  </si>
  <si>
    <t xml:space="preserve">11.	Request for services module completion partially done by SoftTech.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71K Property Tax data already uploaded but only 49K bills has been generated. Need to be generated rest bills and arrears immediately.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</si>
  <si>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</si>
  <si>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</si>
  <si>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</si>
  <si>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</si>
  <si>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</si>
  <si>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</si>
  <si>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
1.	11/20 Qrt. Billing done.
2.	ATCS, ECB, PA, VMD maintenance work is going on.
3.	ERP O&amp;M also going on.
4.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</si>
  <si>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</si>
  <si>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</si>
  <si>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</si>
  <si>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</si>
  <si>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</si>
  <si>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</si>
  <si>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</si>
  <si>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</si>
  <si>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</si>
  <si>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</si>
  <si>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</si>
  <si>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</si>
  <si>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</si>
  <si>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</si>
  <si>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</si>
  <si>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</si>
  <si>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</si>
  <si>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</si>
  <si>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</si>
  <si>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</si>
  <si>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This is struck due to permission clearance and no further development.</t>
  </si>
  <si>
    <t>Permission clearance.</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</si>
  <si>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</si>
  <si>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</si>
  <si>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</si>
  <si>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</si>
  <si>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</si>
  <si>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</si>
  <si>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</si>
  <si>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30</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</si>
  <si>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</si>
  <si>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</si>
  <si>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Overall status is on track/Slightly delayed.
Environment &amp; Project Setup – Completed   
Frontend and Backend foundational setup completed, including project structure, dependency configuration, and environment setup. 
Backend Core Framework – Completed 
Core libraries and reusable components for the microservices ecosystem have been implemented, enabling standardized and efficient development across modules. 
Pre-Registration &amp; Employee Onboarding – In Progress 
Key functionalities are under active development, aligned with defined business workflows and requirements. 
Office Order Module – In Progress 
Development is ongoing, focusing on core features and workflow integration. 
Bonafide Module – In Progress 
Sub-module development is underway with initial use cases being implemented. 
Payroll Module – In Progress 
Development has commenced, with foundational components currently being built. 
Finance Module Integration – Initiated 
Integration discussions have been initiated, and approach alignment is in progress with relevant stakeholders.
Selenium Automation Java Testing framework design completed.
Test case preparation is in WIP based on extended FRS.
Figma Validation in WIP.
All Bespoke wireframe submitted, Feedback incorporated
Clickable Proto type Submitted for Bespoke wireframe
Final UI design is in WIP. Employee on boarding and office order completed 
GIGW Guidelines finalized from CMS side, Approval pending from IFSCA.
Dashboard and log in page has been designed and finalised from CMS. 1st round of review done by IFSCA , Final sign off YTD.
Granular level review are WIP for all fields by BA
UI Screen design will be presented.
Extended FRS submitted .
SRS Submitted and Its under review
Consolidated BRD submitted and its under review
Technical Architecture Design document submitted
TAD document feedback regarding software details submitted.
Project Plan submitted and waiting for sign off.
 Infrastructure 
 Development Environment (AWS) – Completed 
 AWS infrastructure for the Development environment has been successfully provisioned. 
 Test &amp; UAT Environment – Sizing Completed
 Infrastructure sizing and capacity planning for Test and UAT environments have been finalized and shared with the IFSCA. 
 Database Design
 Schema Design – In Progress
 Database schemas have been designed and finalized for the following modules: 
Pre-Registration 
Employee Onboarding 
Office Order 
Bonafide 
Authentication (Auth) 
Notification 
</t>
  </si>
  <si>
    <t xml:space="preserve">Sign off to be secured on milestone 1 and 2. Development to expedite for sprint 1.UI and UX design to be expedited for Sprint 1 Development work. Follow up to be done on IFSCA for infra set up for testing. Jira License to be in place </t>
  </si>
  <si>
    <t>Spring Boot, Odoo, React JS, Apache, PostgreSQL, Postman, Moodle, Figma, Ubuntu, NIC Cloud, Flutter, Node JS</t>
  </si>
  <si>
    <t>Scope change on documentation in last hour. Resource on 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</si>
  <si>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</si>
  <si>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</si>
  <si>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</si>
  <si>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</si>
  <si>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</si>
  <si>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</si>
  <si>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</si>
  <si>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</si>
  <si>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</si>
  <si>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</si>
  <si>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</si>
  <si>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</si>
  <si>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</si>
  <si>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</si>
  <si>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</si>
  <si>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</si>
  <si>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</si>
  <si>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 xml:space="preserve">BG submission done
Project survey done
9 no location approved by Client
Civil vendor finalization done
Material procurements under process
Warehouse finalization done
8 no of pole foundation work done 
</t>
  </si>
  <si>
    <t>1.Civil activity 
2.Material follows with Purchase team
3.Balance 7 no location finalization with Client</t>
  </si>
  <si>
    <t>LED material delivery
LED Pole and structure
LED consumable Item delivery
7 no Location finalization pending with Client</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</si>
  <si>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</si>
  <si>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</si>
  <si>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</si>
  <si>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</si>
  <si>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</si>
  <si>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</si>
  <si>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Pit work for one junction at Dom. done, but local corporator asked to backfill the same and get him the Town Planning confirmation on road widening, KDMC officials are working on same - post permission to start the work we will do foundation work at SKpatil junction and Kopar bridge.</t>
  </si>
  <si>
    <t>Foundation at two junctions in dombivli.</t>
  </si>
  <si>
    <t>Permission and local corporators to be managed.</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</si>
  <si>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</si>
  <si>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</si>
  <si>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</si>
  <si>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</si>
  <si>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</si>
  <si>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</si>
  <si>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xml:space="preserve">•	A total of 8 ABT meters have been successfully integrated into the system database, reporting modules, and monitoring interfaces for Unit-3.
•	Unit-3 specific monitoring screens, including block-wise visualization screens, have been developed and configured in line with the project requirements.
•	Existing reporting templates have been suitably modified and aligned with Unit-3 metering configuration and data structure.
•	All necessary calculation logics and formulas have been reviewed, validated, and updated across both monitoring screens and reporting modules.
•	The currently available meters have been fully commissioned in the ABT application environment as per the defined project scope.
</t>
  </si>
  <si>
    <t>Completion of pending meter integration subject to clearance from NLC</t>
  </si>
  <si>
    <t>Software task in CMS scope is dependent upon site readiness from NLC which is pending from so long.</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</si>
  <si>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</si>
  <si>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</si>
  <si>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</si>
  <si>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</si>
  <si>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</si>
  <si>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 xml:space="preserve"> one filed person and Vadodara share resource</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</si>
  <si>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</si>
  <si>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</si>
  <si>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1.Make Model document submitted for approval
2. Man power deployment done
3. Agreement submitted
4. 6 no junction survey done
5. Material delivery approval received
6. PBG submission</t>
  </si>
  <si>
    <t>Civil activity
Material follows up with purchase</t>
  </si>
  <si>
    <t xml:space="preserve">Material delivery mostly CL pole and Traffic light
Digging permission not received from client end </t>
  </si>
  <si>
    <t>SACHIN R</t>
  </si>
  <si>
    <t>NeGD IEPFA</t>
  </si>
  <si>
    <t>NATIONAL E-GOVERNANCE DIV - INVESTOR EDUCATION &amp; PROTECTION FUND AUTHORITY NATIONAL E-GOVERNANCE DIV - INVESTOR EDUCATION &amp; PROTECTION FUND AUTHORITY NATIONAL E-GOVERNANCE DIV - INVESTOR EDUCATION &amp; PROTECTION FUND AUTHORITY</t>
  </si>
  <si>
    <t>NATIONAL E-GOVERNANCE DIV - INVESTOR EDUCATION &amp; PROTECTION FUND AUTHORITY</t>
  </si>
  <si>
    <t>Start Date (PO) : 10-Mar-26 :: End Date (PO) : 09-Mar-28</t>
  </si>
  <si>
    <t xml:space="preserve">16 </t>
  </si>
  <si>
    <t>38.85 L</t>
  </si>
  <si>
    <t>Hiring of 19 Professionals to —
Handle the development, enhancement, integration, testing, deployment, and operational support of the Investor Education and Protection Fund Authority (IEPFA) Portal modernisation project under NeGD.
Primarily the services would range from requirement analysis, system design, application development, AI/ML analytics, DevOps support, security compliance, testing, and helpdesk operations, along with project management and stakeholder coordination for day-to-day operational activities of the platform.
– For 24 months &amp; extendable for 1 yr based on project requirement.
Resources :
• Full Stack Developers – 4 Resources
• Helpdesk / Support Executives – 2 Resources
• Project Manager, Business Analyst, Technical Lead, Technical Architect, UI/UX Designer, Database Administrator, Data Analyst, AI / ML Developer, Mobile Application Developer, DevOps Engineer, Quality Assurance Engineer, Security &amp; Infrastructure Specialist, Senior Domain Expert – 1 Resource each
→ Annual increment of up to 10% in man month work order cost every year in accordance with the performance of resource</t>
  </si>
  <si>
    <t xml:space="preserve">-&gt; Currently 16 resources have joined and onboarded and only one resource has been left i.e. Domain Expert.   
-&gt; 2 positions are on hold i.e. one Full stack and one Data Analyst
-&gt; We have started BRD's and requirement gathering. 
-&gt; 2 Claude Max license, 1 Figma Organization License and MS Teams access has been provided by NeGD. </t>
  </si>
  <si>
    <t>-&gt; Complete &amp; take signoff on initial four BRDs from IEPFA. 
-&gt; Integrate our microservices pattern in AWS cloud that will be given by NeGD.
-&gt; Submission of Background verification report for resources (follow-up with CMS HR)</t>
  </si>
  <si>
    <t>- Backend: Node.js
- Frontend: React
- mobile: React Native</t>
  </si>
  <si>
    <t>-&gt; KT documents, VPN access, Code and Database structure from LTM for IEPFA portal is not received yet.
-&gt; NeGD is pressurizing us for Go-Live in September 2026. Which is highly difficult to achieve &amp; highly optimistic timeline. The same is reported to CMS management via email.</t>
  </si>
  <si>
    <t>SAHIL S</t>
  </si>
  <si>
    <t>NHAI DashCam</t>
  </si>
  <si>
    <t>NATIONAL HIGHWAY AUTHORITY OF INDIA DASHCAM NATIONAL HIGHWAY AUTHORITY OF INDIA DASHCAM NATIONAL HIGHWAY AUTHORITY OF INDIA DASHCAM</t>
  </si>
  <si>
    <t>NATIONAL HIGHWAY AUTHORITY OF INDIA DASHCAM</t>
  </si>
  <si>
    <t>Start Date (PO) : 20-Mar-26 :: End Date (PO) : 19-Mar-28</t>
  </si>
  <si>
    <t>BILLING PLAN NEEDS TO CONFIRM</t>
  </si>
  <si>
    <t>Deploy Dashcam + AI/ML-based analytics system for monitoring National Highway conditions (defects, encroachments, safety issues).
•Weekly video surveys + AI-based defect detection reports
•Dashboards, analytics platform, API integration with NHAI systems
•Cloud-hosted system (99.99% uptime), data storage &amp; backup (3 months)
•Final data + source code handover at project closure
•Survey frequency : Weekly surveys (≈52 per year per stretch)
•Report submission within 3 working days after each survey</t>
  </si>
  <si>
    <t>SACHIN S / TBD</t>
  </si>
  <si>
    <t>NeGD UPMS</t>
  </si>
  <si>
    <t xml:space="preserve">Unified (R&amp;D) Project Management System (UPMS) in NeGD Unified (R&amp;D) Project Management System (UPMS) in NeGD Unified (R&amp;D) Project Management System (UPMS) in NeGD </t>
  </si>
  <si>
    <t xml:space="preserve">Unified (R&amp;D) Project Management System (UPMS) in NeGD </t>
  </si>
  <si>
    <t>Start Date (PO) : 13-Apr-26 :: End Date (PO) : 12-Apr-29</t>
  </si>
  <si>
    <t>35.12 L</t>
  </si>
  <si>
    <t>Develop a Unified Project (R&amp;D) Management System (UPMS), initiated by NITI Aayog and implemented by MeitY through NeGD
•Requirement analysis, system design, and development of a secure, scalable UPMS application. Integration with external systems, dashboards, and reporting modules; ensuring data security and compliance.
•Testing, deployment, onboarding, training, and post-deployment support.
•Project duration: 3 years (Development → Stabilization → O&amp;M)
•Strict onboarding compliance: NDA signing, background verification, and client approval mandatory before deployment
Resources to be deployed—
•PM, Cloud Architect, DevOps – 1 resource each
•BA, UI/UX, Frontend Dev, Backend Dev, QA, Data Analyst – 2 resource each
•Onboarding BA – 6 resource each</t>
  </si>
  <si>
    <t>TBH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</si>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</sst>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4">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3" fillId="0" borderId="2" xfId="3" applyNumberFormat="1" applyBorder="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9E45E80C-A130-4D58-936F-1128C273F384}"/>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0517A-D772-40C5-B18C-42B450ECE636}">
  <dimension ref="A1:AD37"/>
  <sheetViews>
    <sheetView tabSelected="1" workbookViewId="0">
      <selection sqref="A1:AD37"/>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750.82103710000081</v>
      </c>
      <c r="I2" s="8">
        <v>23</v>
      </c>
      <c r="J2" s="8">
        <v>773.82103710000081</v>
      </c>
      <c r="K2" s="8">
        <v>28.000000000000004</v>
      </c>
      <c r="L2" s="9">
        <v>89.423509699999272</v>
      </c>
      <c r="M2" s="8">
        <v>23.340126300000005</v>
      </c>
      <c r="N2" s="8">
        <v>23.340126300000005</v>
      </c>
      <c r="O2" s="8" t="s">
        <v>34</v>
      </c>
      <c r="P2" s="10">
        <v>0.89357442420714173</v>
      </c>
      <c r="Q2" s="11" t="s">
        <v>35</v>
      </c>
      <c r="R2" s="11" t="s">
        <v>36</v>
      </c>
      <c r="S2" s="11" t="s">
        <v>37</v>
      </c>
      <c r="T2" s="11" t="s">
        <v>38</v>
      </c>
      <c r="U2" s="11" t="s">
        <v>39</v>
      </c>
      <c r="V2" s="11" t="s">
        <v>40</v>
      </c>
      <c r="W2" s="11" t="s">
        <v>41</v>
      </c>
      <c r="X2" s="11" t="s">
        <v>42</v>
      </c>
      <c r="Y2" s="11" t="s">
        <v>43</v>
      </c>
      <c r="Z2" s="12">
        <v>46121</v>
      </c>
      <c r="AA2" s="13">
        <v>0.48492421464871305</v>
      </c>
      <c r="AB2" s="13">
        <v>0.4323402397342212</v>
      </c>
      <c r="AC2" s="14" t="s">
        <v>31</v>
      </c>
      <c r="AD2" s="15" t="s">
        <v>44</v>
      </c>
    </row>
    <row r="3" spans="1:30" x14ac:dyDescent="0.25">
      <c r="A3" s="5">
        <v>2</v>
      </c>
      <c r="B3" s="6" t="s">
        <v>45</v>
      </c>
      <c r="C3" s="7" t="s">
        <v>46</v>
      </c>
      <c r="D3" s="7" t="s">
        <v>47</v>
      </c>
      <c r="E3" s="7" t="s">
        <v>32</v>
      </c>
      <c r="F3" s="7" t="s">
        <v>33</v>
      </c>
      <c r="G3" s="8">
        <v>1440.002</v>
      </c>
      <c r="H3" s="8">
        <v>1023.699194</v>
      </c>
      <c r="I3" s="8">
        <v>45</v>
      </c>
      <c r="J3" s="8">
        <v>1068.699194</v>
      </c>
      <c r="K3" s="8">
        <v>16</v>
      </c>
      <c r="L3" s="9">
        <v>416.30280599999992</v>
      </c>
      <c r="M3" s="8">
        <v>45.0625</v>
      </c>
      <c r="N3" s="8">
        <v>45.0625</v>
      </c>
      <c r="O3" s="8" t="s">
        <v>34</v>
      </c>
      <c r="P3" s="10">
        <v>0.71090123069273514</v>
      </c>
      <c r="Q3" s="11" t="s">
        <v>35</v>
      </c>
      <c r="R3" s="11" t="s">
        <v>48</v>
      </c>
      <c r="S3" s="11" t="s">
        <v>49</v>
      </c>
      <c r="T3" s="11" t="s">
        <v>50</v>
      </c>
      <c r="U3" s="11" t="s">
        <v>51</v>
      </c>
      <c r="V3" s="11" t="s">
        <v>52</v>
      </c>
      <c r="W3" s="11" t="s">
        <v>53</v>
      </c>
      <c r="X3" s="11" t="s">
        <v>54</v>
      </c>
      <c r="Y3" s="11" t="s">
        <v>55</v>
      </c>
      <c r="Z3" s="12">
        <v>46135</v>
      </c>
      <c r="AA3" s="13">
        <v>0.26090761696895148</v>
      </c>
      <c r="AB3" s="13">
        <v>0.19000000008625473</v>
      </c>
      <c r="AC3" s="14" t="s">
        <v>46</v>
      </c>
      <c r="AD3" s="15" t="s">
        <v>56</v>
      </c>
    </row>
    <row r="4" spans="1:30" x14ac:dyDescent="0.25">
      <c r="A4" s="5">
        <v>3</v>
      </c>
      <c r="B4" s="6" t="s">
        <v>57</v>
      </c>
      <c r="C4" s="7" t="s">
        <v>58</v>
      </c>
      <c r="D4" s="7" t="s">
        <v>59</v>
      </c>
      <c r="E4" s="7" t="s">
        <v>32</v>
      </c>
      <c r="F4" s="7" t="s">
        <v>33</v>
      </c>
      <c r="G4" s="8">
        <v>849.8214484745763</v>
      </c>
      <c r="H4" s="8">
        <v>568.2234354000002</v>
      </c>
      <c r="I4" s="8">
        <v>100</v>
      </c>
      <c r="J4" s="8">
        <v>668.2234354000002</v>
      </c>
      <c r="K4" s="8">
        <v>1</v>
      </c>
      <c r="L4" s="9">
        <v>281.5980130745761</v>
      </c>
      <c r="M4" s="8">
        <v>0</v>
      </c>
      <c r="N4" s="8">
        <v>0</v>
      </c>
      <c r="O4" s="8" t="s">
        <v>60</v>
      </c>
      <c r="P4" s="10">
        <v>0.66863861393467694</v>
      </c>
      <c r="Q4" s="11" t="s">
        <v>35</v>
      </c>
      <c r="R4" s="11" t="s">
        <v>61</v>
      </c>
      <c r="S4" s="11" t="s">
        <v>62</v>
      </c>
      <c r="T4" s="11" t="s">
        <v>63</v>
      </c>
      <c r="U4" s="11" t="s">
        <v>64</v>
      </c>
      <c r="V4" s="11" t="s">
        <v>65</v>
      </c>
      <c r="W4" s="11" t="s">
        <v>66</v>
      </c>
      <c r="X4" s="11" t="s">
        <v>67</v>
      </c>
      <c r="Y4" s="11" t="s">
        <v>68</v>
      </c>
      <c r="Z4" s="12">
        <v>46142</v>
      </c>
      <c r="AA4" s="13">
        <v>0.30930749824405201</v>
      </c>
      <c r="AB4" s="13">
        <v>0.11942473989981339</v>
      </c>
      <c r="AC4" s="14" t="s">
        <v>58</v>
      </c>
      <c r="AD4" s="15" t="s">
        <v>69</v>
      </c>
    </row>
    <row r="5" spans="1:30" x14ac:dyDescent="0.25">
      <c r="A5" s="5">
        <v>4</v>
      </c>
      <c r="B5" s="6" t="s">
        <v>70</v>
      </c>
      <c r="C5" s="7" t="s">
        <v>71</v>
      </c>
      <c r="D5" s="7" t="s">
        <v>72</v>
      </c>
      <c r="E5" s="7" t="s">
        <v>73</v>
      </c>
      <c r="F5" s="7" t="s">
        <v>33</v>
      </c>
      <c r="G5" s="8">
        <v>2413.0259999999998</v>
      </c>
      <c r="H5" s="8">
        <v>1225.582085</v>
      </c>
      <c r="I5" s="8">
        <v>92</v>
      </c>
      <c r="J5" s="8">
        <v>1317.582085</v>
      </c>
      <c r="K5" s="8">
        <v>299</v>
      </c>
      <c r="L5" s="9">
        <v>1187.4439149999998</v>
      </c>
      <c r="M5" s="8">
        <v>91.286500000000004</v>
      </c>
      <c r="N5" s="8">
        <v>91.286500000000004</v>
      </c>
      <c r="O5" s="8" t="s">
        <v>74</v>
      </c>
      <c r="P5" s="10">
        <v>0.50790256093386477</v>
      </c>
      <c r="Q5" s="11" t="s">
        <v>75</v>
      </c>
      <c r="R5" s="11" t="s">
        <v>76</v>
      </c>
      <c r="S5" s="11" t="s">
        <v>77</v>
      </c>
      <c r="T5" s="11" t="s">
        <v>78</v>
      </c>
      <c r="U5" s="11" t="s">
        <v>79</v>
      </c>
      <c r="V5" s="11" t="s">
        <v>80</v>
      </c>
      <c r="W5" s="11" t="s">
        <v>81</v>
      </c>
      <c r="X5" s="11" t="s">
        <v>82</v>
      </c>
      <c r="Y5" s="11" t="s">
        <v>83</v>
      </c>
      <c r="Z5" s="12">
        <v>46135</v>
      </c>
      <c r="AA5" s="13">
        <v>0.38639284961749187</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0</v>
      </c>
      <c r="N6" s="8">
        <v>0</v>
      </c>
      <c r="O6" s="8" t="s">
        <v>88</v>
      </c>
      <c r="P6" s="10">
        <v>0.49150378852808996</v>
      </c>
      <c r="Q6" s="11" t="s">
        <v>89</v>
      </c>
      <c r="R6" s="11" t="s">
        <v>90</v>
      </c>
      <c r="S6" s="11" t="s">
        <v>91</v>
      </c>
      <c r="T6" s="11" t="s">
        <v>92</v>
      </c>
      <c r="U6" s="11" t="s">
        <v>93</v>
      </c>
      <c r="V6" s="11" t="s">
        <v>94</v>
      </c>
      <c r="W6" s="11" t="s">
        <v>95</v>
      </c>
      <c r="X6" s="16" t="s">
        <v>96</v>
      </c>
      <c r="Y6" s="11" t="s">
        <v>97</v>
      </c>
      <c r="Z6" s="12">
        <v>46135</v>
      </c>
      <c r="AA6" s="13">
        <v>-1.3948030716163493</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542</v>
      </c>
      <c r="J7" s="8">
        <v>1218.2</v>
      </c>
      <c r="K7" s="8">
        <v>501</v>
      </c>
      <c r="L7" s="9">
        <v>1510.0800000000002</v>
      </c>
      <c r="M7" s="8">
        <v>0</v>
      </c>
      <c r="N7" s="8">
        <v>0</v>
      </c>
      <c r="O7" s="8" t="s">
        <v>102</v>
      </c>
      <c r="P7" s="10">
        <v>0.3092924968439541</v>
      </c>
      <c r="Q7" s="11" t="s">
        <v>103</v>
      </c>
      <c r="R7" s="11" t="s">
        <v>104</v>
      </c>
      <c r="S7" s="11" t="s">
        <v>105</v>
      </c>
      <c r="T7" s="11" t="s">
        <v>106</v>
      </c>
      <c r="U7" s="11" t="s">
        <v>107</v>
      </c>
      <c r="V7" s="11" t="s">
        <v>108</v>
      </c>
      <c r="W7" s="11" t="s">
        <v>109</v>
      </c>
      <c r="X7" s="11" t="s">
        <v>110</v>
      </c>
      <c r="Y7" s="11" t="s">
        <v>111</v>
      </c>
      <c r="Z7" s="12">
        <v>46122</v>
      </c>
      <c r="AA7" s="13">
        <v>0.28607209338948913</v>
      </c>
      <c r="AB7" s="13">
        <v>0.32590705634920647</v>
      </c>
      <c r="AC7" s="14" t="s">
        <v>100</v>
      </c>
      <c r="AD7" s="15" t="s">
        <v>112</v>
      </c>
    </row>
    <row r="8" spans="1:30" x14ac:dyDescent="0.25">
      <c r="A8" s="5">
        <v>7</v>
      </c>
      <c r="B8" s="6" t="s">
        <v>113</v>
      </c>
      <c r="C8" s="7" t="s">
        <v>114</v>
      </c>
      <c r="D8" s="7" t="s">
        <v>115</v>
      </c>
      <c r="E8" s="7" t="s">
        <v>32</v>
      </c>
      <c r="F8" s="7" t="s">
        <v>33</v>
      </c>
      <c r="G8" s="8">
        <v>1606.08</v>
      </c>
      <c r="H8" s="8">
        <v>958.56200449999983</v>
      </c>
      <c r="I8" s="8">
        <v>64</v>
      </c>
      <c r="J8" s="8">
        <v>1022.5620044999998</v>
      </c>
      <c r="K8" s="8">
        <v>154</v>
      </c>
      <c r="L8" s="9">
        <v>647.5179955000001</v>
      </c>
      <c r="M8" s="8">
        <v>66.797672000000006</v>
      </c>
      <c r="N8" s="8">
        <v>66.797672000000006</v>
      </c>
      <c r="O8" s="8" t="s">
        <v>60</v>
      </c>
      <c r="P8" s="10">
        <v>0.59683328632446697</v>
      </c>
      <c r="Q8" s="11" t="s">
        <v>35</v>
      </c>
      <c r="R8" s="11" t="s">
        <v>116</v>
      </c>
      <c r="S8" s="11" t="s">
        <v>117</v>
      </c>
      <c r="T8" s="11" t="s">
        <v>118</v>
      </c>
      <c r="U8" s="11" t="s">
        <v>119</v>
      </c>
      <c r="V8" s="11" t="s">
        <v>120</v>
      </c>
      <c r="W8" s="11" t="s">
        <v>121</v>
      </c>
      <c r="X8" s="11" t="s">
        <v>122</v>
      </c>
      <c r="Y8" s="11" t="s">
        <v>123</v>
      </c>
      <c r="Z8" s="12">
        <v>46128</v>
      </c>
      <c r="AA8" s="13">
        <v>0.21116623465333351</v>
      </c>
      <c r="AB8" s="13">
        <v>0.10999999996973608</v>
      </c>
      <c r="AC8" s="14" t="s">
        <v>114</v>
      </c>
      <c r="AD8" s="15" t="s">
        <v>124</v>
      </c>
    </row>
    <row r="9" spans="1:30" x14ac:dyDescent="0.25">
      <c r="A9" s="5">
        <v>8</v>
      </c>
      <c r="B9" s="6" t="s">
        <v>125</v>
      </c>
      <c r="C9" s="7" t="s">
        <v>125</v>
      </c>
      <c r="D9" s="7" t="s">
        <v>125</v>
      </c>
      <c r="E9" s="7" t="s">
        <v>73</v>
      </c>
      <c r="F9" s="7" t="s">
        <v>126</v>
      </c>
      <c r="G9" s="8">
        <v>1372.5805700000001</v>
      </c>
      <c r="H9" s="8">
        <v>496.28673269999996</v>
      </c>
      <c r="I9" s="8">
        <v>55.000000000000007</v>
      </c>
      <c r="J9" s="8">
        <v>551.28673270000002</v>
      </c>
      <c r="K9" s="8">
        <v>192</v>
      </c>
      <c r="L9" s="9">
        <v>876.29383730000018</v>
      </c>
      <c r="M9" s="8">
        <v>32.968117100000001</v>
      </c>
      <c r="N9" s="8">
        <v>32.968117100000001</v>
      </c>
      <c r="O9" s="8" t="s">
        <v>127</v>
      </c>
      <c r="P9" s="10">
        <v>0.36157202247151138</v>
      </c>
      <c r="Q9" s="11" t="s">
        <v>128</v>
      </c>
      <c r="R9" s="11" t="s">
        <v>129</v>
      </c>
      <c r="S9" s="11" t="s">
        <v>130</v>
      </c>
      <c r="T9" s="11" t="s">
        <v>131</v>
      </c>
      <c r="U9" s="11" t="s">
        <v>132</v>
      </c>
      <c r="V9" s="11" t="s">
        <v>133</v>
      </c>
      <c r="W9" s="11" t="s">
        <v>134</v>
      </c>
      <c r="X9" s="11" t="s">
        <v>135</v>
      </c>
      <c r="Y9" s="11" t="s">
        <v>136</v>
      </c>
      <c r="Z9" s="12">
        <v>46141</v>
      </c>
      <c r="AA9" s="13">
        <v>9.4771522523708573E-2</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1144</v>
      </c>
      <c r="J10" s="8">
        <v>4956.5</v>
      </c>
      <c r="K10" s="8">
        <v>1043</v>
      </c>
      <c r="L10" s="9">
        <v>1525</v>
      </c>
      <c r="M10" s="8">
        <v>0</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46135</v>
      </c>
      <c r="AA10" s="13">
        <v>0.3771051418170831</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339.7709773000002</v>
      </c>
      <c r="I11" s="8">
        <v>0</v>
      </c>
      <c r="J11" s="8">
        <v>339.7709773000002</v>
      </c>
      <c r="K11" s="8">
        <v>108</v>
      </c>
      <c r="L11" s="9">
        <v>340.92196769999981</v>
      </c>
      <c r="M11" s="8">
        <v>-5.4135344999999999</v>
      </c>
      <c r="N11" s="8">
        <v>-5.4135344999999999</v>
      </c>
      <c r="O11" s="8" t="s">
        <v>153</v>
      </c>
      <c r="P11" s="10">
        <v>0.49915454507905938</v>
      </c>
      <c r="Q11" s="11" t="s">
        <v>35</v>
      </c>
      <c r="R11" s="11" t="s">
        <v>154</v>
      </c>
      <c r="S11" s="11" t="s">
        <v>37</v>
      </c>
      <c r="T11" s="11" t="s">
        <v>155</v>
      </c>
      <c r="U11" s="11" t="s">
        <v>156</v>
      </c>
      <c r="V11" s="11" t="s">
        <v>157</v>
      </c>
      <c r="W11" s="11" t="s">
        <v>158</v>
      </c>
      <c r="X11" s="11" t="s">
        <v>135</v>
      </c>
      <c r="Y11" s="11" t="s">
        <v>159</v>
      </c>
      <c r="Z11" s="12">
        <v>46135</v>
      </c>
      <c r="AA11" s="13">
        <v>0.4142236295434828</v>
      </c>
      <c r="AB11" s="13">
        <v>0.12040585230689282</v>
      </c>
      <c r="AC11" s="14" t="s">
        <v>150</v>
      </c>
      <c r="AD11" s="15" t="s">
        <v>160</v>
      </c>
    </row>
    <row r="12" spans="1:30" x14ac:dyDescent="0.25">
      <c r="A12" s="5">
        <v>11</v>
      </c>
      <c r="B12" s="6" t="s">
        <v>161</v>
      </c>
      <c r="C12" s="7" t="s">
        <v>162</v>
      </c>
      <c r="D12" s="7" t="s">
        <v>162</v>
      </c>
      <c r="E12" s="7" t="s">
        <v>73</v>
      </c>
      <c r="F12" s="7" t="s">
        <v>126</v>
      </c>
      <c r="G12" s="8">
        <v>1045.762712</v>
      </c>
      <c r="H12" s="8">
        <v>770.78811320000011</v>
      </c>
      <c r="I12" s="8">
        <v>0</v>
      </c>
      <c r="J12" s="8">
        <v>770.78811320000011</v>
      </c>
      <c r="K12" s="8">
        <v>0</v>
      </c>
      <c r="L12" s="9">
        <v>274.97459879999985</v>
      </c>
      <c r="M12" s="8">
        <v>0</v>
      </c>
      <c r="N12" s="8">
        <v>0</v>
      </c>
      <c r="O12" s="8" t="s">
        <v>163</v>
      </c>
      <c r="P12" s="10">
        <v>0.73705832533068949</v>
      </c>
      <c r="Q12" s="11" t="s">
        <v>164</v>
      </c>
      <c r="R12" s="11" t="s">
        <v>165</v>
      </c>
      <c r="S12" s="11" t="s">
        <v>166</v>
      </c>
      <c r="T12" s="11" t="s">
        <v>167</v>
      </c>
      <c r="U12" s="11" t="s">
        <v>168</v>
      </c>
      <c r="V12" s="11" t="s">
        <v>169</v>
      </c>
      <c r="W12" s="11" t="s">
        <v>170</v>
      </c>
      <c r="X12" s="11" t="s">
        <v>135</v>
      </c>
      <c r="Y12" s="11" t="s">
        <v>171</v>
      </c>
      <c r="Z12" s="12">
        <v>46136</v>
      </c>
      <c r="AA12" s="13">
        <v>0.16985596624000832</v>
      </c>
      <c r="AB12" s="13">
        <v>0.18000000439604424</v>
      </c>
      <c r="AC12" s="14" t="s">
        <v>162</v>
      </c>
      <c r="AD12" s="15" t="s">
        <v>172</v>
      </c>
    </row>
    <row r="13" spans="1:30" x14ac:dyDescent="0.25">
      <c r="A13" s="5">
        <v>12</v>
      </c>
      <c r="B13" s="6" t="s">
        <v>173</v>
      </c>
      <c r="C13" s="7" t="s">
        <v>174</v>
      </c>
      <c r="D13" s="7" t="s">
        <v>173</v>
      </c>
      <c r="E13" s="7" t="s">
        <v>73</v>
      </c>
      <c r="F13" s="7" t="s">
        <v>126</v>
      </c>
      <c r="G13" s="8">
        <v>2019.8763390000001</v>
      </c>
      <c r="H13" s="8">
        <v>493.68378150000001</v>
      </c>
      <c r="I13" s="8">
        <v>0</v>
      </c>
      <c r="J13" s="8">
        <v>493.68378150000001</v>
      </c>
      <c r="K13" s="8">
        <v>0</v>
      </c>
      <c r="L13" s="9">
        <v>1526.1925575</v>
      </c>
      <c r="M13" s="8">
        <v>0</v>
      </c>
      <c r="N13" s="8">
        <v>0</v>
      </c>
      <c r="O13" s="8" t="s">
        <v>153</v>
      </c>
      <c r="P13" s="10">
        <v>0.24441287417843255</v>
      </c>
      <c r="Q13" s="11" t="s">
        <v>75</v>
      </c>
      <c r="R13" s="11" t="s">
        <v>175</v>
      </c>
      <c r="S13" s="11" t="s">
        <v>176</v>
      </c>
      <c r="T13" s="11" t="s">
        <v>177</v>
      </c>
      <c r="U13" s="11" t="s">
        <v>178</v>
      </c>
      <c r="V13" s="11" t="s">
        <v>179</v>
      </c>
      <c r="W13" s="11" t="s">
        <v>180</v>
      </c>
      <c r="X13" s="11" t="s">
        <v>135</v>
      </c>
      <c r="Y13" s="11" t="s">
        <v>181</v>
      </c>
      <c r="Z13" s="12">
        <v>46136</v>
      </c>
      <c r="AA13" s="13">
        <v>0.20489999998701292</v>
      </c>
      <c r="AB13" s="13">
        <v>0.2046391013686556</v>
      </c>
      <c r="AC13" s="14" t="s">
        <v>174</v>
      </c>
      <c r="AD13" s="15" t="s">
        <v>172</v>
      </c>
    </row>
    <row r="14" spans="1:30" x14ac:dyDescent="0.25">
      <c r="A14" s="5">
        <v>13</v>
      </c>
      <c r="B14" s="6" t="s">
        <v>182</v>
      </c>
      <c r="C14" s="7" t="s">
        <v>183</v>
      </c>
      <c r="D14" s="7" t="s">
        <v>184</v>
      </c>
      <c r="E14" s="7" t="s">
        <v>73</v>
      </c>
      <c r="F14" s="7" t="s">
        <v>126</v>
      </c>
      <c r="G14" s="8">
        <v>2903.04126</v>
      </c>
      <c r="H14" s="8">
        <v>2182.1293272000007</v>
      </c>
      <c r="I14" s="8">
        <v>0</v>
      </c>
      <c r="J14" s="8">
        <v>2182.1293272000007</v>
      </c>
      <c r="K14" s="8">
        <v>1473</v>
      </c>
      <c r="L14" s="9">
        <v>720.91193279999925</v>
      </c>
      <c r="M14" s="8">
        <v>0</v>
      </c>
      <c r="N14" s="8">
        <v>0</v>
      </c>
      <c r="O14" s="8" t="s">
        <v>185</v>
      </c>
      <c r="P14" s="10">
        <v>0.75167010447519467</v>
      </c>
      <c r="Q14" s="11" t="s">
        <v>75</v>
      </c>
      <c r="R14" s="11" t="s">
        <v>186</v>
      </c>
      <c r="S14" s="11" t="s">
        <v>187</v>
      </c>
      <c r="T14" s="11" t="s">
        <v>188</v>
      </c>
      <c r="U14" s="11" t="s">
        <v>189</v>
      </c>
      <c r="V14" s="11" t="s">
        <v>190</v>
      </c>
      <c r="W14" s="11" t="s">
        <v>191</v>
      </c>
      <c r="X14" s="11" t="s">
        <v>135</v>
      </c>
      <c r="Y14" s="11" t="s">
        <v>192</v>
      </c>
      <c r="Z14" s="12">
        <v>46135</v>
      </c>
      <c r="AA14" s="13">
        <v>0.1799999999028975</v>
      </c>
      <c r="AB14" s="13">
        <v>-0.204144834903355</v>
      </c>
      <c r="AC14" s="14" t="s">
        <v>183</v>
      </c>
      <c r="AD14" s="15" t="s">
        <v>193</v>
      </c>
    </row>
    <row r="15" spans="1:30" x14ac:dyDescent="0.25">
      <c r="A15" s="5">
        <v>14</v>
      </c>
      <c r="B15" s="6" t="s">
        <v>194</v>
      </c>
      <c r="C15" s="7" t="s">
        <v>195</v>
      </c>
      <c r="D15" s="7" t="s">
        <v>195</v>
      </c>
      <c r="E15" s="7" t="s">
        <v>73</v>
      </c>
      <c r="F15" s="7" t="s">
        <v>87</v>
      </c>
      <c r="G15" s="8">
        <v>1047.3630700000001</v>
      </c>
      <c r="H15" s="8">
        <v>162.96677500000001</v>
      </c>
      <c r="I15" s="8">
        <v>0</v>
      </c>
      <c r="J15" s="8">
        <v>162.96677500000001</v>
      </c>
      <c r="K15" s="8">
        <v>114.99999999999999</v>
      </c>
      <c r="L15" s="9">
        <v>884.39629500000012</v>
      </c>
      <c r="M15" s="8">
        <v>0</v>
      </c>
      <c r="N15" s="8">
        <v>0</v>
      </c>
      <c r="O15" s="8" t="s">
        <v>196</v>
      </c>
      <c r="P15" s="10">
        <v>0.15559721329490833</v>
      </c>
      <c r="Q15" s="11" t="s">
        <v>197</v>
      </c>
      <c r="R15" s="11" t="s">
        <v>198</v>
      </c>
      <c r="S15" s="11" t="s">
        <v>199</v>
      </c>
      <c r="T15" s="11" t="s">
        <v>200</v>
      </c>
      <c r="U15" s="11" t="s">
        <v>201</v>
      </c>
      <c r="V15" s="11" t="s">
        <v>202</v>
      </c>
      <c r="W15" s="11" t="s">
        <v>203</v>
      </c>
      <c r="X15" s="11" t="s">
        <v>204</v>
      </c>
      <c r="Y15" s="11" t="s">
        <v>205</v>
      </c>
      <c r="Z15" s="12">
        <v>46135</v>
      </c>
      <c r="AA15" s="13" t="s">
        <v>206</v>
      </c>
      <c r="AB15" s="13">
        <v>-9.5509698226650848</v>
      </c>
      <c r="AC15" s="14" t="s">
        <v>195</v>
      </c>
      <c r="AD15" s="15" t="s">
        <v>207</v>
      </c>
    </row>
    <row r="16" spans="1:30" x14ac:dyDescent="0.25">
      <c r="A16" s="5">
        <v>15</v>
      </c>
      <c r="B16" s="6" t="s">
        <v>208</v>
      </c>
      <c r="C16" s="7" t="s">
        <v>209</v>
      </c>
      <c r="D16" s="7" t="s">
        <v>208</v>
      </c>
      <c r="E16" s="7" t="s">
        <v>210</v>
      </c>
      <c r="F16" s="7" t="s">
        <v>126</v>
      </c>
      <c r="G16" s="8">
        <v>669.18430290000003</v>
      </c>
      <c r="H16" s="8">
        <v>666.07277790000012</v>
      </c>
      <c r="I16" s="8">
        <v>0</v>
      </c>
      <c r="J16" s="8">
        <v>666.07277790000012</v>
      </c>
      <c r="K16" s="8">
        <v>257</v>
      </c>
      <c r="L16" s="9">
        <v>3.1115249999999151</v>
      </c>
      <c r="M16" s="8">
        <v>0</v>
      </c>
      <c r="N16" s="8">
        <v>0</v>
      </c>
      <c r="O16" s="8" t="s">
        <v>211</v>
      </c>
      <c r="P16" s="10">
        <v>0.99535027198558645</v>
      </c>
      <c r="Q16" s="16" t="s">
        <v>212</v>
      </c>
      <c r="R16" s="11" t="s">
        <v>213</v>
      </c>
      <c r="S16" s="11" t="s">
        <v>214</v>
      </c>
      <c r="T16" s="11" t="s">
        <v>200</v>
      </c>
      <c r="U16" s="11" t="s">
        <v>215</v>
      </c>
      <c r="V16" s="11" t="s">
        <v>216</v>
      </c>
      <c r="W16" s="11" t="s">
        <v>217</v>
      </c>
      <c r="X16" s="11" t="s">
        <v>135</v>
      </c>
      <c r="Y16" s="11" t="s">
        <v>218</v>
      </c>
      <c r="Z16" s="12">
        <v>46135</v>
      </c>
      <c r="AA16" s="13" t="s">
        <v>206</v>
      </c>
      <c r="AB16" s="13">
        <v>0.20000000003501683</v>
      </c>
      <c r="AC16" s="14" t="s">
        <v>209</v>
      </c>
      <c r="AD16" s="15" t="s">
        <v>219</v>
      </c>
    </row>
    <row r="17" spans="1:30" x14ac:dyDescent="0.25">
      <c r="A17" s="5">
        <v>16</v>
      </c>
      <c r="B17" s="6" t="s">
        <v>220</v>
      </c>
      <c r="C17" s="7" t="s">
        <v>221</v>
      </c>
      <c r="D17" s="7" t="s">
        <v>222</v>
      </c>
      <c r="E17" s="7" t="s">
        <v>73</v>
      </c>
      <c r="F17" s="7" t="s">
        <v>126</v>
      </c>
      <c r="G17" s="8">
        <v>437.16408000000001</v>
      </c>
      <c r="H17" s="8">
        <v>286.48819380000003</v>
      </c>
      <c r="I17" s="8">
        <v>72</v>
      </c>
      <c r="J17" s="8">
        <v>358.48819380000003</v>
      </c>
      <c r="K17" s="8">
        <v>270</v>
      </c>
      <c r="L17" s="9">
        <v>150.67588619999998</v>
      </c>
      <c r="M17" s="8">
        <v>72.277794599999993</v>
      </c>
      <c r="N17" s="8">
        <v>72.277794599999993</v>
      </c>
      <c r="O17" s="8" t="s">
        <v>223</v>
      </c>
      <c r="P17" s="10">
        <v>0.65533333342483224</v>
      </c>
      <c r="Q17" s="11" t="s">
        <v>35</v>
      </c>
      <c r="R17" s="11" t="s">
        <v>224</v>
      </c>
      <c r="S17" s="11" t="s">
        <v>225</v>
      </c>
      <c r="T17" s="11" t="s">
        <v>226</v>
      </c>
      <c r="U17" s="11" t="s">
        <v>227</v>
      </c>
      <c r="V17" s="11" t="s">
        <v>228</v>
      </c>
      <c r="W17" s="11" t="s">
        <v>229</v>
      </c>
      <c r="X17" s="11" t="s">
        <v>135</v>
      </c>
      <c r="Y17" s="11" t="s">
        <v>230</v>
      </c>
      <c r="Z17" s="12">
        <v>46142</v>
      </c>
      <c r="AA17" s="13">
        <v>0.84701213702793943</v>
      </c>
      <c r="AB17" s="13" t="s">
        <v>206</v>
      </c>
      <c r="AC17" s="14" t="s">
        <v>221</v>
      </c>
      <c r="AD17" s="15" t="s">
        <v>231</v>
      </c>
    </row>
    <row r="18" spans="1:30" x14ac:dyDescent="0.25">
      <c r="A18" s="5">
        <v>17</v>
      </c>
      <c r="B18" s="6" t="s">
        <v>232</v>
      </c>
      <c r="C18" s="7" t="s">
        <v>233</v>
      </c>
      <c r="D18" s="7" t="s">
        <v>234</v>
      </c>
      <c r="E18" s="7" t="s">
        <v>73</v>
      </c>
      <c r="F18" s="7" t="s">
        <v>235</v>
      </c>
      <c r="G18" s="8">
        <v>171.31355932203391</v>
      </c>
      <c r="H18" s="8">
        <v>171.31355930000001</v>
      </c>
      <c r="I18" s="8">
        <v>0</v>
      </c>
      <c r="J18" s="8">
        <v>171.31355930000001</v>
      </c>
      <c r="K18" s="8">
        <v>51</v>
      </c>
      <c r="L18" s="9">
        <v>2.2033901814211276E-8</v>
      </c>
      <c r="M18" s="8">
        <v>0</v>
      </c>
      <c r="N18" s="8">
        <v>0</v>
      </c>
      <c r="O18" s="8" t="s">
        <v>236</v>
      </c>
      <c r="P18" s="10">
        <v>0.99999999987138266</v>
      </c>
      <c r="Q18" s="11" t="s">
        <v>237</v>
      </c>
      <c r="R18" s="11" t="s">
        <v>238</v>
      </c>
      <c r="S18" s="11" t="s">
        <v>239</v>
      </c>
      <c r="T18" s="11" t="s">
        <v>240</v>
      </c>
      <c r="U18" s="33" t="s">
        <v>431</v>
      </c>
      <c r="V18" s="11" t="s">
        <v>241</v>
      </c>
      <c r="W18" s="11" t="s">
        <v>242</v>
      </c>
      <c r="X18" s="11" t="s">
        <v>243</v>
      </c>
      <c r="Y18" s="11" t="s">
        <v>244</v>
      </c>
      <c r="Z18" s="12">
        <v>46142</v>
      </c>
      <c r="AA18" s="13">
        <v>0.21799999984005936</v>
      </c>
      <c r="AB18" s="13" t="s">
        <v>206</v>
      </c>
      <c r="AC18" s="14" t="s">
        <v>233</v>
      </c>
      <c r="AD18" s="15" t="s">
        <v>245</v>
      </c>
    </row>
    <row r="19" spans="1:30" x14ac:dyDescent="0.25">
      <c r="A19" s="5">
        <v>18</v>
      </c>
      <c r="B19" s="6" t="s">
        <v>246</v>
      </c>
      <c r="C19" s="7" t="s">
        <v>247</v>
      </c>
      <c r="D19" s="7" t="s">
        <v>248</v>
      </c>
      <c r="E19" s="7" t="s">
        <v>32</v>
      </c>
      <c r="F19" s="7" t="s">
        <v>87</v>
      </c>
      <c r="G19" s="8">
        <v>111.36</v>
      </c>
      <c r="H19" s="8">
        <v>111.36</v>
      </c>
      <c r="I19" s="8">
        <v>0</v>
      </c>
      <c r="J19" s="8">
        <v>111.36</v>
      </c>
      <c r="K19" s="8">
        <v>0</v>
      </c>
      <c r="L19" s="9">
        <v>0</v>
      </c>
      <c r="M19" s="8">
        <v>55.68</v>
      </c>
      <c r="N19" s="8">
        <v>55.68</v>
      </c>
      <c r="O19" s="8" t="s">
        <v>249</v>
      </c>
      <c r="P19" s="10">
        <v>1</v>
      </c>
      <c r="Q19" s="11" t="s">
        <v>250</v>
      </c>
      <c r="R19" s="11" t="s">
        <v>251</v>
      </c>
      <c r="S19" s="11" t="s">
        <v>252</v>
      </c>
      <c r="T19" s="11" t="s">
        <v>253</v>
      </c>
      <c r="U19" s="11" t="s">
        <v>254</v>
      </c>
      <c r="V19" s="11" t="s">
        <v>255</v>
      </c>
      <c r="W19" s="11" t="s">
        <v>256</v>
      </c>
      <c r="X19" s="11" t="s">
        <v>257</v>
      </c>
      <c r="Y19" s="11" t="s">
        <v>258</v>
      </c>
      <c r="Z19" s="12">
        <v>46134</v>
      </c>
      <c r="AA19" s="13">
        <v>9.1376267959770163E-2</v>
      </c>
      <c r="AB19" s="13" t="s">
        <v>206</v>
      </c>
      <c r="AC19" s="14" t="s">
        <v>247</v>
      </c>
      <c r="AD19" s="15" t="s">
        <v>98</v>
      </c>
    </row>
    <row r="20" spans="1:30" x14ac:dyDescent="0.25">
      <c r="A20" s="5">
        <v>19</v>
      </c>
      <c r="B20" s="6" t="s">
        <v>259</v>
      </c>
      <c r="C20" s="7" t="s">
        <v>259</v>
      </c>
      <c r="D20" s="7" t="s">
        <v>260</v>
      </c>
      <c r="E20" s="7" t="s">
        <v>32</v>
      </c>
      <c r="F20" s="7" t="s">
        <v>87</v>
      </c>
      <c r="G20" s="8">
        <v>218.28</v>
      </c>
      <c r="H20" s="8">
        <v>109.14</v>
      </c>
      <c r="I20" s="8">
        <v>0</v>
      </c>
      <c r="J20" s="8">
        <v>109.14</v>
      </c>
      <c r="K20" s="8">
        <v>0</v>
      </c>
      <c r="L20" s="9">
        <v>109.14</v>
      </c>
      <c r="M20" s="8">
        <v>0</v>
      </c>
      <c r="N20" s="8">
        <v>0</v>
      </c>
      <c r="O20" s="17" t="s">
        <v>261</v>
      </c>
      <c r="P20" s="10">
        <v>0.5</v>
      </c>
      <c r="Q20" s="11" t="s">
        <v>135</v>
      </c>
      <c r="R20" s="11" t="s">
        <v>262</v>
      </c>
      <c r="S20" s="11" t="s">
        <v>91</v>
      </c>
      <c r="T20" s="11" t="s">
        <v>135</v>
      </c>
      <c r="U20" s="11" t="s">
        <v>263</v>
      </c>
      <c r="V20" s="11" t="s">
        <v>264</v>
      </c>
      <c r="W20" s="11" t="s">
        <v>265</v>
      </c>
      <c r="X20" s="11">
        <v>0</v>
      </c>
      <c r="Y20" s="11">
        <v>0</v>
      </c>
      <c r="Z20" s="12">
        <v>46135</v>
      </c>
      <c r="AA20" s="13">
        <v>0.33175610958402046</v>
      </c>
      <c r="AB20" s="13" t="s">
        <v>206</v>
      </c>
      <c r="AC20" s="14" t="s">
        <v>259</v>
      </c>
      <c r="AD20" s="15" t="s">
        <v>266</v>
      </c>
    </row>
    <row r="21" spans="1:30" x14ac:dyDescent="0.25">
      <c r="A21" s="5">
        <v>20</v>
      </c>
      <c r="B21" s="6" t="s">
        <v>267</v>
      </c>
      <c r="C21" s="7" t="s">
        <v>268</v>
      </c>
      <c r="D21" s="7" t="s">
        <v>269</v>
      </c>
      <c r="E21" s="7" t="s">
        <v>32</v>
      </c>
      <c r="F21" s="7" t="s">
        <v>33</v>
      </c>
      <c r="G21" s="8">
        <v>509.88</v>
      </c>
      <c r="H21" s="8">
        <v>29.608499999999999</v>
      </c>
      <c r="I21" s="8">
        <v>48</v>
      </c>
      <c r="J21" s="8">
        <v>77.608499999999992</v>
      </c>
      <c r="K21" s="8">
        <v>35</v>
      </c>
      <c r="L21" s="9">
        <v>480.2715</v>
      </c>
      <c r="M21" s="8">
        <v>0</v>
      </c>
      <c r="N21" s="8">
        <v>0</v>
      </c>
      <c r="O21" s="8" t="s">
        <v>270</v>
      </c>
      <c r="P21" s="10">
        <v>5.8069545775476579E-2</v>
      </c>
      <c r="Q21" s="11" t="s">
        <v>35</v>
      </c>
      <c r="R21" s="11" t="s">
        <v>271</v>
      </c>
      <c r="S21" s="11" t="s">
        <v>272</v>
      </c>
      <c r="T21" s="11" t="s">
        <v>273</v>
      </c>
      <c r="U21" s="11" t="s">
        <v>274</v>
      </c>
      <c r="V21" s="11" t="s">
        <v>275</v>
      </c>
      <c r="W21" s="11" t="s">
        <v>276</v>
      </c>
      <c r="X21" s="11" t="s">
        <v>277</v>
      </c>
      <c r="Y21" s="11" t="s">
        <v>278</v>
      </c>
      <c r="Z21" s="12">
        <v>46134</v>
      </c>
      <c r="AA21" s="13">
        <v>0.26948085534049881</v>
      </c>
      <c r="AB21" s="13" t="s">
        <v>206</v>
      </c>
      <c r="AC21" s="14" t="s">
        <v>268</v>
      </c>
      <c r="AD21" s="15" t="s">
        <v>279</v>
      </c>
    </row>
    <row r="22" spans="1:30" x14ac:dyDescent="0.25">
      <c r="A22" s="5">
        <v>21</v>
      </c>
      <c r="B22" s="6" t="s">
        <v>280</v>
      </c>
      <c r="C22" s="7" t="s">
        <v>281</v>
      </c>
      <c r="D22" s="7" t="s">
        <v>282</v>
      </c>
      <c r="E22" s="7" t="s">
        <v>73</v>
      </c>
      <c r="F22" s="7"/>
      <c r="G22" s="8">
        <v>0</v>
      </c>
      <c r="H22" s="8">
        <v>0</v>
      </c>
      <c r="I22" s="8">
        <v>0</v>
      </c>
      <c r="J22" s="8">
        <v>0</v>
      </c>
      <c r="K22" s="8">
        <v>0</v>
      </c>
      <c r="L22" s="9">
        <v>0</v>
      </c>
      <c r="M22" s="8">
        <v>0</v>
      </c>
      <c r="N22" s="8">
        <v>0</v>
      </c>
      <c r="O22" s="8" t="s">
        <v>283</v>
      </c>
      <c r="P22" s="10">
        <v>0</v>
      </c>
      <c r="Q22" s="11">
        <v>0</v>
      </c>
      <c r="R22" s="11" t="s">
        <v>284</v>
      </c>
      <c r="S22" s="11" t="s">
        <v>135</v>
      </c>
      <c r="T22" s="11" t="s">
        <v>285</v>
      </c>
      <c r="U22" s="11" t="s">
        <v>286</v>
      </c>
      <c r="V22" s="11" t="s">
        <v>287</v>
      </c>
      <c r="W22" s="11" t="s">
        <v>288</v>
      </c>
      <c r="X22" s="11" t="s">
        <v>135</v>
      </c>
      <c r="Y22" s="11" t="s">
        <v>289</v>
      </c>
      <c r="Z22" s="12">
        <v>45925</v>
      </c>
      <c r="AA22" s="13" t="s">
        <v>206</v>
      </c>
      <c r="AB22" s="13" t="s">
        <v>206</v>
      </c>
      <c r="AC22" s="14" t="s">
        <v>281</v>
      </c>
      <c r="AD22" s="15" t="s">
        <v>290</v>
      </c>
    </row>
    <row r="23" spans="1:30" x14ac:dyDescent="0.25">
      <c r="A23" s="5">
        <v>22</v>
      </c>
      <c r="B23" s="6" t="s">
        <v>291</v>
      </c>
      <c r="C23" s="7" t="s">
        <v>292</v>
      </c>
      <c r="D23" s="7" t="s">
        <v>293</v>
      </c>
      <c r="E23" s="7" t="s">
        <v>151</v>
      </c>
      <c r="F23" s="7" t="s">
        <v>152</v>
      </c>
      <c r="G23" s="8">
        <v>6660.9289406779662</v>
      </c>
      <c r="H23" s="8">
        <v>6497.8216138999996</v>
      </c>
      <c r="I23" s="8">
        <v>0</v>
      </c>
      <c r="J23" s="8">
        <v>6497.8216138999996</v>
      </c>
      <c r="K23" s="8">
        <v>0</v>
      </c>
      <c r="L23" s="9">
        <v>163.10732677796659</v>
      </c>
      <c r="M23" s="8">
        <v>96.250439999999998</v>
      </c>
      <c r="N23" s="8">
        <v>96.250439999999998</v>
      </c>
      <c r="O23" s="8" t="s">
        <v>294</v>
      </c>
      <c r="P23" s="10">
        <v>0.97551282587900345</v>
      </c>
      <c r="Q23" s="11" t="s">
        <v>75</v>
      </c>
      <c r="R23" s="11" t="s">
        <v>295</v>
      </c>
      <c r="S23" s="11" t="s">
        <v>91</v>
      </c>
      <c r="T23" s="11" t="s">
        <v>296</v>
      </c>
      <c r="U23" s="11" t="s">
        <v>297</v>
      </c>
      <c r="V23" s="11" t="s">
        <v>298</v>
      </c>
      <c r="W23" s="11" t="s">
        <v>299</v>
      </c>
      <c r="X23" s="11" t="s">
        <v>300</v>
      </c>
      <c r="Y23" s="11" t="s">
        <v>301</v>
      </c>
      <c r="Z23" s="12">
        <v>46128</v>
      </c>
      <c r="AA23" s="13">
        <v>0.34517873346065742</v>
      </c>
      <c r="AB23" s="13">
        <v>4.7055080021901952E-2</v>
      </c>
      <c r="AC23" s="14" t="e">
        <v>#N/A</v>
      </c>
      <c r="AD23" s="15" t="s">
        <v>302</v>
      </c>
    </row>
    <row r="24" spans="1:30" x14ac:dyDescent="0.25">
      <c r="A24" s="5">
        <v>23</v>
      </c>
      <c r="B24" s="6" t="s">
        <v>303</v>
      </c>
      <c r="C24" s="7" t="s">
        <v>304</v>
      </c>
      <c r="D24" s="7" t="s">
        <v>304</v>
      </c>
      <c r="E24" s="7" t="s">
        <v>210</v>
      </c>
      <c r="F24" s="7" t="s">
        <v>126</v>
      </c>
      <c r="G24" s="8">
        <v>360.9787</v>
      </c>
      <c r="H24" s="8">
        <v>162.440415</v>
      </c>
      <c r="I24" s="8">
        <v>0</v>
      </c>
      <c r="J24" s="8">
        <v>162.440415</v>
      </c>
      <c r="K24" s="8">
        <v>0</v>
      </c>
      <c r="L24" s="9">
        <v>198.538285</v>
      </c>
      <c r="M24" s="8">
        <v>0</v>
      </c>
      <c r="N24" s="8">
        <v>0</v>
      </c>
      <c r="O24" s="8" t="s">
        <v>305</v>
      </c>
      <c r="P24" s="10">
        <v>0.45</v>
      </c>
      <c r="Q24" s="11" t="s">
        <v>75</v>
      </c>
      <c r="R24" s="11" t="s">
        <v>306</v>
      </c>
      <c r="S24" s="11" t="s">
        <v>187</v>
      </c>
      <c r="T24" s="11" t="s">
        <v>307</v>
      </c>
      <c r="U24" s="16" t="s">
        <v>308</v>
      </c>
      <c r="V24" s="11" t="s">
        <v>309</v>
      </c>
      <c r="W24" s="11" t="s">
        <v>310</v>
      </c>
      <c r="X24" s="11" t="s">
        <v>300</v>
      </c>
      <c r="Y24" s="11" t="s">
        <v>311</v>
      </c>
      <c r="Z24" s="12">
        <v>46135</v>
      </c>
      <c r="AA24" s="13">
        <v>1.9433124213630304E-2</v>
      </c>
      <c r="AB24" s="13">
        <v>0.42701644292272078</v>
      </c>
      <c r="AC24" s="14" t="e">
        <v>#N/A</v>
      </c>
      <c r="AD24" s="15" t="s">
        <v>219</v>
      </c>
    </row>
    <row r="25" spans="1:30" x14ac:dyDescent="0.25">
      <c r="A25" s="5">
        <v>24</v>
      </c>
      <c r="B25" s="6" t="s">
        <v>312</v>
      </c>
      <c r="C25" s="7" t="s">
        <v>313</v>
      </c>
      <c r="D25" s="7" t="s">
        <v>313</v>
      </c>
      <c r="E25" s="7" t="s">
        <v>210</v>
      </c>
      <c r="F25" s="7" t="s">
        <v>126</v>
      </c>
      <c r="G25" s="8">
        <v>352.65960000000001</v>
      </c>
      <c r="H25" s="8">
        <v>193.96278000000001</v>
      </c>
      <c r="I25" s="8">
        <v>0</v>
      </c>
      <c r="J25" s="8">
        <v>193.96278000000001</v>
      </c>
      <c r="K25" s="8">
        <v>0</v>
      </c>
      <c r="L25" s="9">
        <v>158.69682</v>
      </c>
      <c r="M25" s="8">
        <v>0</v>
      </c>
      <c r="N25" s="8">
        <v>0</v>
      </c>
      <c r="O25" s="8" t="s">
        <v>305</v>
      </c>
      <c r="P25" s="10">
        <v>0.55000000000000004</v>
      </c>
      <c r="Q25" s="11" t="s">
        <v>75</v>
      </c>
      <c r="R25" s="11" t="s">
        <v>314</v>
      </c>
      <c r="S25" s="11" t="s">
        <v>315</v>
      </c>
      <c r="T25" s="11" t="s">
        <v>316</v>
      </c>
      <c r="U25" s="16" t="s">
        <v>317</v>
      </c>
      <c r="V25" s="11" t="s">
        <v>318</v>
      </c>
      <c r="W25" s="11" t="s">
        <v>319</v>
      </c>
      <c r="X25" s="11" t="s">
        <v>300</v>
      </c>
      <c r="Y25" s="11" t="s">
        <v>320</v>
      </c>
      <c r="Z25" s="12">
        <v>46135</v>
      </c>
      <c r="AA25" s="13">
        <v>0.47825792208690765</v>
      </c>
      <c r="AB25" s="13">
        <v>0.67739458815242792</v>
      </c>
      <c r="AC25" s="14" t="e">
        <v>#N/A</v>
      </c>
      <c r="AD25" s="15" t="s">
        <v>219</v>
      </c>
    </row>
    <row r="26" spans="1:30" x14ac:dyDescent="0.25">
      <c r="A26" s="5">
        <v>25</v>
      </c>
      <c r="B26" s="6" t="s">
        <v>321</v>
      </c>
      <c r="C26" s="7" t="s">
        <v>322</v>
      </c>
      <c r="D26" s="7" t="s">
        <v>323</v>
      </c>
      <c r="E26" s="7" t="s">
        <v>210</v>
      </c>
      <c r="F26" s="7" t="s">
        <v>235</v>
      </c>
      <c r="G26" s="8">
        <v>1275.816245</v>
      </c>
      <c r="H26" s="8">
        <v>1087.4796217000005</v>
      </c>
      <c r="I26" s="8">
        <v>0</v>
      </c>
      <c r="J26" s="8">
        <v>1087.4796217000005</v>
      </c>
      <c r="K26" s="8">
        <v>0</v>
      </c>
      <c r="L26" s="9">
        <v>188.33662329999947</v>
      </c>
      <c r="M26" s="8">
        <v>0</v>
      </c>
      <c r="N26" s="8">
        <v>0</v>
      </c>
      <c r="O26" s="8" t="s">
        <v>305</v>
      </c>
      <c r="P26" s="10">
        <v>0.85237950681526287</v>
      </c>
      <c r="Q26" s="11" t="s">
        <v>300</v>
      </c>
      <c r="R26" s="11" t="s">
        <v>324</v>
      </c>
      <c r="S26" s="11" t="s">
        <v>214</v>
      </c>
      <c r="T26" s="11" t="s">
        <v>325</v>
      </c>
      <c r="U26" s="16" t="s">
        <v>326</v>
      </c>
      <c r="V26" s="11" t="s">
        <v>327</v>
      </c>
      <c r="W26" s="11" t="s">
        <v>328</v>
      </c>
      <c r="X26" s="11" t="s">
        <v>300</v>
      </c>
      <c r="Y26" s="11" t="s">
        <v>329</v>
      </c>
      <c r="Z26" s="12">
        <v>46135</v>
      </c>
      <c r="AA26" s="13">
        <v>0.70726820396801893</v>
      </c>
      <c r="AB26" s="13">
        <v>0.51174435922491024</v>
      </c>
      <c r="AC26" s="14" t="e">
        <v>#N/A</v>
      </c>
      <c r="AD26" s="15" t="s">
        <v>219</v>
      </c>
    </row>
    <row r="27" spans="1:30" x14ac:dyDescent="0.25">
      <c r="A27" s="5">
        <v>26</v>
      </c>
      <c r="B27" s="6" t="s">
        <v>330</v>
      </c>
      <c r="C27" s="7" t="s">
        <v>331</v>
      </c>
      <c r="D27" s="7" t="s">
        <v>331</v>
      </c>
      <c r="E27" s="7" t="s">
        <v>73</v>
      </c>
      <c r="F27" s="7" t="s">
        <v>126</v>
      </c>
      <c r="G27" s="8">
        <v>0</v>
      </c>
      <c r="H27" s="8">
        <v>0</v>
      </c>
      <c r="I27" s="8">
        <v>0</v>
      </c>
      <c r="J27" s="8">
        <v>0</v>
      </c>
      <c r="K27" s="8">
        <v>0</v>
      </c>
      <c r="L27" s="9">
        <v>0</v>
      </c>
      <c r="M27" s="8">
        <v>0</v>
      </c>
      <c r="N27" s="8">
        <v>0</v>
      </c>
      <c r="O27" s="8" t="s">
        <v>300</v>
      </c>
      <c r="P27" s="10">
        <v>0</v>
      </c>
      <c r="Q27" s="11" t="s">
        <v>300</v>
      </c>
      <c r="R27" s="11" t="s">
        <v>300</v>
      </c>
      <c r="S27" s="11" t="s">
        <v>214</v>
      </c>
      <c r="T27" s="11" t="s">
        <v>300</v>
      </c>
      <c r="U27" s="11" t="s">
        <v>300</v>
      </c>
      <c r="V27" s="11" t="s">
        <v>332</v>
      </c>
      <c r="W27" s="11" t="s">
        <v>333</v>
      </c>
      <c r="X27" s="11" t="s">
        <v>300</v>
      </c>
      <c r="Y27" s="11" t="s">
        <v>334</v>
      </c>
      <c r="Z27" s="12">
        <v>45982</v>
      </c>
      <c r="AA27" s="13" t="s">
        <v>206</v>
      </c>
      <c r="AB27" s="13" t="s">
        <v>206</v>
      </c>
      <c r="AC27" s="14" t="e">
        <v>#N/A</v>
      </c>
      <c r="AD27" s="15" t="s">
        <v>335</v>
      </c>
    </row>
    <row r="28" spans="1:30" x14ac:dyDescent="0.25">
      <c r="A28" s="5">
        <v>27</v>
      </c>
      <c r="B28" s="6" t="s">
        <v>336</v>
      </c>
      <c r="C28" s="7" t="s">
        <v>337</v>
      </c>
      <c r="D28" s="7" t="s">
        <v>337</v>
      </c>
      <c r="E28" s="7" t="s">
        <v>73</v>
      </c>
      <c r="F28" s="7" t="s">
        <v>126</v>
      </c>
      <c r="G28" s="8">
        <v>108.12905000000001</v>
      </c>
      <c r="H28" s="8">
        <v>10.812905000000001</v>
      </c>
      <c r="I28" s="8">
        <v>0</v>
      </c>
      <c r="J28" s="8">
        <v>10.812905000000001</v>
      </c>
      <c r="K28" s="8">
        <v>0</v>
      </c>
      <c r="L28" s="9">
        <v>97.316145000000006</v>
      </c>
      <c r="M28" s="8">
        <v>0</v>
      </c>
      <c r="N28" s="8">
        <v>0</v>
      </c>
      <c r="O28" s="8" t="s">
        <v>300</v>
      </c>
      <c r="P28" s="10">
        <v>0.1</v>
      </c>
      <c r="Q28" s="11" t="s">
        <v>300</v>
      </c>
      <c r="R28" s="11" t="s">
        <v>300</v>
      </c>
      <c r="S28" s="11" t="s">
        <v>239</v>
      </c>
      <c r="T28" s="11" t="s">
        <v>300</v>
      </c>
      <c r="U28" s="16" t="s">
        <v>338</v>
      </c>
      <c r="V28" s="11" t="s">
        <v>339</v>
      </c>
      <c r="W28" s="11" t="s">
        <v>135</v>
      </c>
      <c r="X28" s="11" t="s">
        <v>300</v>
      </c>
      <c r="Y28" s="11" t="s">
        <v>340</v>
      </c>
      <c r="Z28" s="12">
        <v>46128</v>
      </c>
      <c r="AA28" s="13" t="s">
        <v>206</v>
      </c>
      <c r="AB28" s="13" t="s">
        <v>206</v>
      </c>
      <c r="AC28" s="14" t="e">
        <v>#N/A</v>
      </c>
      <c r="AD28" s="15" t="s">
        <v>341</v>
      </c>
    </row>
    <row r="29" spans="1:30" x14ac:dyDescent="0.25">
      <c r="A29" s="5">
        <v>28</v>
      </c>
      <c r="B29" s="6" t="s">
        <v>342</v>
      </c>
      <c r="C29" s="7" t="s">
        <v>343</v>
      </c>
      <c r="D29" s="7" t="s">
        <v>344</v>
      </c>
      <c r="E29" s="7" t="s">
        <v>73</v>
      </c>
      <c r="F29" s="7" t="s">
        <v>87</v>
      </c>
      <c r="G29" s="8">
        <v>1640</v>
      </c>
      <c r="H29" s="8">
        <v>82</v>
      </c>
      <c r="I29" s="8">
        <v>80</v>
      </c>
      <c r="J29" s="8">
        <v>162</v>
      </c>
      <c r="K29" s="8">
        <v>97</v>
      </c>
      <c r="L29" s="9">
        <v>1558</v>
      </c>
      <c r="M29" s="8">
        <v>0</v>
      </c>
      <c r="N29" s="8">
        <v>0</v>
      </c>
      <c r="O29" s="18" t="s">
        <v>345</v>
      </c>
      <c r="P29" s="10">
        <v>0.05</v>
      </c>
      <c r="Q29" s="11" t="s">
        <v>346</v>
      </c>
      <c r="R29" s="11" t="s">
        <v>347</v>
      </c>
      <c r="S29" s="11" t="s">
        <v>348</v>
      </c>
      <c r="T29" s="11" t="s">
        <v>349</v>
      </c>
      <c r="U29" s="16" t="s">
        <v>350</v>
      </c>
      <c r="V29" s="11" t="s">
        <v>351</v>
      </c>
      <c r="W29" s="11" t="s">
        <v>352</v>
      </c>
      <c r="X29" s="11" t="s">
        <v>353</v>
      </c>
      <c r="Y29" s="11" t="s">
        <v>354</v>
      </c>
      <c r="Z29" s="12">
        <v>46129</v>
      </c>
      <c r="AA29" s="13">
        <v>0.19904691358024695</v>
      </c>
      <c r="AB29" s="13" t="s">
        <v>206</v>
      </c>
      <c r="AC29" s="14" t="s">
        <v>343</v>
      </c>
      <c r="AD29" s="15" t="s">
        <v>355</v>
      </c>
    </row>
    <row r="30" spans="1:30" x14ac:dyDescent="0.25">
      <c r="A30" s="5">
        <v>29</v>
      </c>
      <c r="B30" s="7" t="s">
        <v>356</v>
      </c>
      <c r="C30" s="7" t="s">
        <v>357</v>
      </c>
      <c r="D30" s="7" t="s">
        <v>358</v>
      </c>
      <c r="E30" s="7" t="s">
        <v>32</v>
      </c>
      <c r="F30" s="7" t="s">
        <v>359</v>
      </c>
      <c r="G30" s="8">
        <v>809.07864406779663</v>
      </c>
      <c r="H30" s="8">
        <v>258.39851240000007</v>
      </c>
      <c r="I30" s="8">
        <v>5</v>
      </c>
      <c r="J30" s="8">
        <v>263.39851240000007</v>
      </c>
      <c r="K30" s="8">
        <v>14.000000000000002</v>
      </c>
      <c r="L30" s="9">
        <v>550.68013166779656</v>
      </c>
      <c r="M30" s="8">
        <v>4.8781356000000002</v>
      </c>
      <c r="N30" s="8">
        <v>4.8781356000000002</v>
      </c>
      <c r="O30" s="8" t="s">
        <v>102</v>
      </c>
      <c r="P30" s="10">
        <v>0.31937378930291926</v>
      </c>
      <c r="Q30" s="11" t="s">
        <v>35</v>
      </c>
      <c r="R30" s="11" t="s">
        <v>360</v>
      </c>
      <c r="S30" s="11" t="e">
        <v>#N/A</v>
      </c>
      <c r="T30" s="11" t="s">
        <v>361</v>
      </c>
      <c r="U30" s="16" t="s">
        <v>362</v>
      </c>
      <c r="V30" s="11" t="s">
        <v>432</v>
      </c>
      <c r="W30" s="11" t="s">
        <v>432</v>
      </c>
      <c r="X30" s="11" t="s">
        <v>300</v>
      </c>
      <c r="Y30" s="11" t="s">
        <v>432</v>
      </c>
      <c r="Z30" s="12">
        <v>0</v>
      </c>
      <c r="AA30" s="13">
        <v>0.16148581410687934</v>
      </c>
      <c r="AB30" s="13">
        <v>0.53564420356445086</v>
      </c>
      <c r="AC30" s="14" t="s">
        <v>357</v>
      </c>
      <c r="AD30" s="15" t="s">
        <v>363</v>
      </c>
    </row>
    <row r="31" spans="1:30" x14ac:dyDescent="0.25">
      <c r="A31" s="5">
        <v>30</v>
      </c>
      <c r="B31" s="7" t="s">
        <v>364</v>
      </c>
      <c r="C31" s="7" t="s">
        <v>365</v>
      </c>
      <c r="D31" s="7" t="s">
        <v>366</v>
      </c>
      <c r="E31" s="7" t="s">
        <v>73</v>
      </c>
      <c r="F31" s="7" t="s">
        <v>126</v>
      </c>
      <c r="G31" s="8">
        <v>643.5</v>
      </c>
      <c r="H31" s="8">
        <v>0</v>
      </c>
      <c r="I31" s="8">
        <v>0</v>
      </c>
      <c r="J31" s="8">
        <v>0</v>
      </c>
      <c r="K31" s="8">
        <v>0</v>
      </c>
      <c r="L31" s="9">
        <v>643.5</v>
      </c>
      <c r="M31" s="8">
        <v>0</v>
      </c>
      <c r="N31" s="8">
        <v>0</v>
      </c>
      <c r="O31" s="8" t="s">
        <v>367</v>
      </c>
      <c r="P31" s="10">
        <v>0</v>
      </c>
      <c r="Q31" s="16" t="s">
        <v>368</v>
      </c>
      <c r="R31" s="11" t="s">
        <v>369</v>
      </c>
      <c r="S31" s="11">
        <v>0</v>
      </c>
      <c r="T31" s="11" t="s">
        <v>370</v>
      </c>
      <c r="U31" s="16" t="s">
        <v>371</v>
      </c>
      <c r="V31" s="11" t="s">
        <v>372</v>
      </c>
      <c r="W31" s="11" t="s">
        <v>373</v>
      </c>
      <c r="X31" s="11" t="s">
        <v>300</v>
      </c>
      <c r="Y31" s="11" t="s">
        <v>374</v>
      </c>
      <c r="Z31" s="12">
        <v>46136</v>
      </c>
      <c r="AA31" s="13" t="s">
        <v>206</v>
      </c>
      <c r="AB31" s="13" t="s">
        <v>206</v>
      </c>
      <c r="AC31" s="14" t="s">
        <v>365</v>
      </c>
      <c r="AD31" s="15" t="s">
        <v>172</v>
      </c>
    </row>
    <row r="32" spans="1:30" x14ac:dyDescent="0.25">
      <c r="A32" s="5">
        <v>31</v>
      </c>
      <c r="B32" s="7" t="s">
        <v>375</v>
      </c>
      <c r="C32" s="7" t="s">
        <v>376</v>
      </c>
      <c r="D32" s="7" t="s">
        <v>377</v>
      </c>
      <c r="E32" s="7" t="s">
        <v>73</v>
      </c>
      <c r="F32" s="7" t="s">
        <v>126</v>
      </c>
      <c r="G32" s="8">
        <v>96.595439999999996</v>
      </c>
      <c r="H32" s="8">
        <v>0</v>
      </c>
      <c r="I32" s="8">
        <v>0</v>
      </c>
      <c r="J32" s="8">
        <v>0</v>
      </c>
      <c r="K32" s="8">
        <v>0</v>
      </c>
      <c r="L32" s="9">
        <v>96.595439999999996</v>
      </c>
      <c r="M32" s="8">
        <v>0</v>
      </c>
      <c r="N32" s="8">
        <v>0</v>
      </c>
      <c r="O32" s="8" t="s">
        <v>378</v>
      </c>
      <c r="P32" s="10">
        <v>0</v>
      </c>
      <c r="Q32" s="11" t="s">
        <v>300</v>
      </c>
      <c r="R32" s="11" t="s">
        <v>379</v>
      </c>
      <c r="S32" s="11" t="s">
        <v>214</v>
      </c>
      <c r="T32" s="11" t="s">
        <v>300</v>
      </c>
      <c r="U32" s="16" t="s">
        <v>380</v>
      </c>
      <c r="V32" s="11" t="s">
        <v>381</v>
      </c>
      <c r="W32" s="11" t="s">
        <v>382</v>
      </c>
      <c r="X32" s="11" t="s">
        <v>300</v>
      </c>
      <c r="Y32" s="11" t="s">
        <v>383</v>
      </c>
      <c r="Z32" s="12">
        <v>46128</v>
      </c>
      <c r="AA32" s="13" t="s">
        <v>206</v>
      </c>
      <c r="AB32" s="13" t="s">
        <v>206</v>
      </c>
      <c r="AC32" s="14" t="s">
        <v>376</v>
      </c>
      <c r="AD32" s="15" t="s">
        <v>290</v>
      </c>
    </row>
    <row r="33" spans="1:30" x14ac:dyDescent="0.25">
      <c r="A33" s="5">
        <v>32</v>
      </c>
      <c r="B33" s="7" t="s">
        <v>384</v>
      </c>
      <c r="C33" s="7" t="s">
        <v>385</v>
      </c>
      <c r="D33" s="7" t="s">
        <v>386</v>
      </c>
      <c r="E33" s="7" t="s">
        <v>32</v>
      </c>
      <c r="F33" s="7" t="s">
        <v>235</v>
      </c>
      <c r="G33" s="8">
        <v>35.1</v>
      </c>
      <c r="H33" s="8">
        <v>0</v>
      </c>
      <c r="I33" s="8">
        <v>0</v>
      </c>
      <c r="J33" s="8">
        <v>0</v>
      </c>
      <c r="K33" s="8">
        <v>0</v>
      </c>
      <c r="L33" s="9">
        <v>35.1</v>
      </c>
      <c r="M33" s="8">
        <v>0</v>
      </c>
      <c r="N33" s="8">
        <v>0</v>
      </c>
      <c r="O33" s="8" t="s">
        <v>387</v>
      </c>
      <c r="P33" s="10">
        <v>0</v>
      </c>
      <c r="Q33" s="11" t="s">
        <v>164</v>
      </c>
      <c r="R33" s="11" t="s">
        <v>388</v>
      </c>
      <c r="S33" s="11" t="s">
        <v>239</v>
      </c>
      <c r="T33" s="11" t="s">
        <v>300</v>
      </c>
      <c r="U33" s="16" t="s">
        <v>389</v>
      </c>
      <c r="V33" s="11" t="s">
        <v>390</v>
      </c>
      <c r="W33" s="11" t="s">
        <v>391</v>
      </c>
      <c r="X33" s="11" t="s">
        <v>300</v>
      </c>
      <c r="Y33" s="11" t="s">
        <v>392</v>
      </c>
      <c r="Z33" s="12">
        <v>46142</v>
      </c>
      <c r="AA33" s="13" t="s">
        <v>206</v>
      </c>
      <c r="AB33" s="13" t="s">
        <v>206</v>
      </c>
      <c r="AC33" s="14" t="s">
        <v>385</v>
      </c>
      <c r="AD33" s="15" t="s">
        <v>245</v>
      </c>
    </row>
    <row r="34" spans="1:30" x14ac:dyDescent="0.25">
      <c r="A34" s="5">
        <v>33</v>
      </c>
      <c r="B34" s="7" t="s">
        <v>393</v>
      </c>
      <c r="C34" s="7" t="s">
        <v>394</v>
      </c>
      <c r="D34" s="7" t="s">
        <v>393</v>
      </c>
      <c r="E34" s="7" t="s">
        <v>73</v>
      </c>
      <c r="F34" s="7" t="s">
        <v>126</v>
      </c>
      <c r="G34" s="8">
        <v>417.49581000000001</v>
      </c>
      <c r="H34" s="8">
        <v>90.889420600000008</v>
      </c>
      <c r="I34" s="8">
        <v>0</v>
      </c>
      <c r="J34" s="8">
        <v>90.889420600000008</v>
      </c>
      <c r="K34" s="8">
        <v>107</v>
      </c>
      <c r="L34" s="9">
        <v>326.60638940000001</v>
      </c>
      <c r="M34" s="8">
        <v>0</v>
      </c>
      <c r="N34" s="8">
        <v>0</v>
      </c>
      <c r="O34" s="8" t="s">
        <v>395</v>
      </c>
      <c r="P34" s="10">
        <v>0.21770139585352966</v>
      </c>
      <c r="Q34" s="16" t="s">
        <v>396</v>
      </c>
      <c r="R34" s="11" t="s">
        <v>397</v>
      </c>
      <c r="S34" s="11" t="s">
        <v>398</v>
      </c>
      <c r="T34" s="11" t="s">
        <v>399</v>
      </c>
      <c r="U34" s="16" t="s">
        <v>400</v>
      </c>
      <c r="V34" s="11" t="s">
        <v>401</v>
      </c>
      <c r="W34" s="11" t="s">
        <v>402</v>
      </c>
      <c r="X34" s="11" t="s">
        <v>300</v>
      </c>
      <c r="Y34" s="11" t="s">
        <v>403</v>
      </c>
      <c r="Z34" s="12">
        <v>46136</v>
      </c>
      <c r="AA34" s="13">
        <v>0.38089999992804446</v>
      </c>
      <c r="AB34" s="13" t="s">
        <v>206</v>
      </c>
      <c r="AC34" s="14" t="s">
        <v>394</v>
      </c>
      <c r="AD34" s="15" t="s">
        <v>404</v>
      </c>
    </row>
    <row r="35" spans="1:30" x14ac:dyDescent="0.25">
      <c r="A35" s="5">
        <v>34</v>
      </c>
      <c r="B35" s="7" t="s">
        <v>405</v>
      </c>
      <c r="C35" s="7" t="s">
        <v>406</v>
      </c>
      <c r="D35" s="7" t="s">
        <v>407</v>
      </c>
      <c r="E35" s="7" t="s">
        <v>32</v>
      </c>
      <c r="F35" s="7" t="s">
        <v>33</v>
      </c>
      <c r="G35" s="8">
        <v>979.02</v>
      </c>
      <c r="H35" s="8">
        <v>0</v>
      </c>
      <c r="I35" s="8">
        <v>0</v>
      </c>
      <c r="J35" s="8">
        <v>0</v>
      </c>
      <c r="K35" s="8">
        <v>0</v>
      </c>
      <c r="L35" s="9">
        <v>979.02</v>
      </c>
      <c r="M35" s="8">
        <v>0</v>
      </c>
      <c r="N35" s="8">
        <v>0</v>
      </c>
      <c r="O35" s="8" t="s">
        <v>270</v>
      </c>
      <c r="P35" s="10">
        <v>0</v>
      </c>
      <c r="Q35" s="11" t="s">
        <v>35</v>
      </c>
      <c r="R35" s="11" t="s">
        <v>408</v>
      </c>
      <c r="S35" s="11" t="s">
        <v>409</v>
      </c>
      <c r="T35" s="11" t="s">
        <v>410</v>
      </c>
      <c r="U35" s="11" t="s">
        <v>411</v>
      </c>
      <c r="V35" s="11" t="s">
        <v>412</v>
      </c>
      <c r="W35" s="11" t="s">
        <v>413</v>
      </c>
      <c r="X35" s="11" t="s">
        <v>414</v>
      </c>
      <c r="Y35" s="11" t="s">
        <v>415</v>
      </c>
      <c r="Z35" s="12">
        <v>46142</v>
      </c>
      <c r="AA35" s="13" t="s">
        <v>206</v>
      </c>
      <c r="AB35" s="13" t="s">
        <v>206</v>
      </c>
      <c r="AC35" s="14" t="s">
        <v>406</v>
      </c>
      <c r="AD35" s="15" t="s">
        <v>416</v>
      </c>
    </row>
    <row r="36" spans="1:30" x14ac:dyDescent="0.25">
      <c r="A36" s="5">
        <v>35</v>
      </c>
      <c r="B36" s="7" t="s">
        <v>417</v>
      </c>
      <c r="C36" s="19" t="s">
        <v>418</v>
      </c>
      <c r="D36" s="19" t="s">
        <v>419</v>
      </c>
      <c r="E36" s="7" t="s">
        <v>32</v>
      </c>
      <c r="F36" s="7" t="s">
        <v>87</v>
      </c>
      <c r="G36" s="8">
        <v>662.95943999999997</v>
      </c>
      <c r="H36" s="8">
        <v>0</v>
      </c>
      <c r="I36" s="8">
        <v>0</v>
      </c>
      <c r="J36" s="8">
        <v>0</v>
      </c>
      <c r="K36" s="8">
        <v>0</v>
      </c>
      <c r="L36" s="9">
        <v>662.95943999999997</v>
      </c>
      <c r="M36" s="8">
        <v>0</v>
      </c>
      <c r="N36" s="8">
        <v>0</v>
      </c>
      <c r="O36" s="8" t="s">
        <v>60</v>
      </c>
      <c r="P36" s="10">
        <v>0</v>
      </c>
      <c r="Q36" s="11" t="s">
        <v>35</v>
      </c>
      <c r="R36" s="11" t="s">
        <v>420</v>
      </c>
      <c r="S36" s="11" t="e">
        <v>#N/A</v>
      </c>
      <c r="T36" s="11" t="s">
        <v>421</v>
      </c>
      <c r="U36" s="16" t="s">
        <v>422</v>
      </c>
      <c r="V36" s="11" t="s">
        <v>432</v>
      </c>
      <c r="W36" s="11" t="s">
        <v>432</v>
      </c>
      <c r="X36" s="11" t="s">
        <v>300</v>
      </c>
      <c r="Y36" s="11" t="s">
        <v>432</v>
      </c>
      <c r="Z36" s="12" t="e">
        <v>#N/A</v>
      </c>
      <c r="AA36" s="13" t="s">
        <v>206</v>
      </c>
      <c r="AB36" s="13" t="s">
        <v>206</v>
      </c>
      <c r="AC36" s="14" t="s">
        <v>418</v>
      </c>
      <c r="AD36" s="15" t="s">
        <v>423</v>
      </c>
    </row>
    <row r="37" spans="1:30" x14ac:dyDescent="0.25">
      <c r="A37" s="20">
        <v>36</v>
      </c>
      <c r="B37" s="21" t="s">
        <v>424</v>
      </c>
      <c r="C37" s="22" t="s">
        <v>425</v>
      </c>
      <c r="D37" s="22" t="s">
        <v>426</v>
      </c>
      <c r="E37" s="23"/>
      <c r="F37" s="21"/>
      <c r="G37" s="24">
        <v>1395.1654764000002</v>
      </c>
      <c r="H37" s="24">
        <v>0</v>
      </c>
      <c r="I37" s="24">
        <v>0</v>
      </c>
      <c r="J37" s="24">
        <v>0</v>
      </c>
      <c r="K37" s="24">
        <v>0</v>
      </c>
      <c r="L37" s="25">
        <v>1395.1654764000002</v>
      </c>
      <c r="M37" s="24">
        <v>0</v>
      </c>
      <c r="N37" s="24">
        <v>0</v>
      </c>
      <c r="O37" s="24" t="s">
        <v>102</v>
      </c>
      <c r="P37" s="26">
        <v>0</v>
      </c>
      <c r="Q37" s="27" t="s">
        <v>35</v>
      </c>
      <c r="R37" s="27" t="s">
        <v>427</v>
      </c>
      <c r="S37" s="27" t="e">
        <v>#N/A</v>
      </c>
      <c r="T37" s="27" t="s">
        <v>428</v>
      </c>
      <c r="U37" s="28" t="s">
        <v>429</v>
      </c>
      <c r="V37" s="27" t="s">
        <v>432</v>
      </c>
      <c r="W37" s="27" t="s">
        <v>432</v>
      </c>
      <c r="X37" s="27" t="s">
        <v>300</v>
      </c>
      <c r="Y37" s="27" t="s">
        <v>432</v>
      </c>
      <c r="Z37" s="29">
        <v>0</v>
      </c>
      <c r="AA37" s="30" t="s">
        <v>206</v>
      </c>
      <c r="AB37" s="30" t="s">
        <v>206</v>
      </c>
      <c r="AC37" s="31" t="s">
        <v>425</v>
      </c>
      <c r="AD37" s="32" t="s">
        <v>430</v>
      </c>
    </row>
  </sheetData>
  <conditionalFormatting sqref="T2:Y37 P2:R37">
    <cfRule type="dataBar" priority="1">
      <dataBar>
        <cfvo type="num" val="0"/>
        <cfvo type="num" val="1"/>
        <color rgb="FF008AEF"/>
      </dataBar>
      <extLst>
        <ext xmlns:x14="http://schemas.microsoft.com/office/spreadsheetml/2009/9/main" uri="{B025F937-C7B1-47D3-B67F-A62EFF666E3E}">
          <x14:id>{7D64DF43-AABC-4C89-99DF-B4BCFEC0DFCD}</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7D64DF43-AABC-4C89-99DF-B4BCFEC0DFCD}">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T2:Y37 P2:R37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2026-04-30T06:09:20Z</dcterms:created>
  <dcterms:modified xsi:type="dcterms:W3CDTF">2026-04-30T06:09:22Z</dcterms:modified>
</cp:coreProperties>
</file>