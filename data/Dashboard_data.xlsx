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81EACE9E-D330-4188-9ECB-CCCAEBE29750}" xr6:coauthVersionLast="47" xr6:coauthVersionMax="47" xr10:uidLastSave="{00000000-0000-0000-0000-000000000000}"/>
  <bookViews>
    <workbookView xWindow="-120" yWindow="-120" windowWidth="20730" windowHeight="11160" xr2:uid="{03A7EC0C-6603-4ADD-A1B1-0ECB1717D9E4}"/>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<sst xmlns="http://schemas.openxmlformats.org/spreadsheetml/2006/main" count="391" uniqueCount="288">
  <si>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</si>
  <si>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</si>
  <si>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</si>
  <si>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</si>
  <si>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</si>
  <si>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</si>
  <si>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</si>
  <si>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</si>
  <si>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</si>
  <si>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</si>
  <si>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</si>
  <si>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</si>
  <si>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</si>
  <si>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</si>
  <si>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</si>
  <si>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</si>
  <si>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</si>
  <si>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</si>
  <si>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</si>
  <si>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</si>
  <si>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</si>
  <si>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</si>
  <si>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</si>
  <si>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</si>
  <si>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</si>
  <si>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</si>
  <si>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</si>
  <si>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</si>
  <si>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</si>
  <si>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</si>
  <si>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</si>
  <si>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</si>
  <si>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</si>
  <si>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</si>
  <si>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</si>
  <si>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</si>
  <si>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</si>
  <si>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</si>
  <si>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</si>
  <si>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</si>
  <si>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14
  2.      Estimation   =   10
  3.     Designing    =    7
  4.     To Do        =    12
  5.     In Progress  =    13
  6.     Under QA Testing = 2
  7.     User Acceptance Testing (UAT) = 18
  8.     Released on Production = 270
  9.     Closed       = 121
</t>
  </si>
  <si>
    <t>4 task plan to deploy</t>
  </si>
  <si>
    <t>HTML,CSS,React,java, spring boot,Elastic,mysql AWS,Postman,Jenkins,CI/CD,Kibana,GIT,Docker</t>
  </si>
  <si>
    <t>1) 3 months payment pending
2) Bill submitted up to September
3) Need one fronted resource (min 4 yr exp) as replacement of Jayshri Barmase</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</si>
  <si>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</si>
  <si>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</si>
  <si>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</si>
  <si>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</si>
  <si>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</si>
  <si>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</si>
  <si>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</si>
  <si>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</si>
  <si>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Aug’25. invoicing done for Sep’25.
3. DWR mobile app: changes done for dumpsite, bug fixing ongoing. 
4. New SBM Dashboard ver2.0 (Legacy waste &amp; Toilets): bug fixing ongoing as per PMU comments. SS: 5 resources onboarded.
5. UWM Action Plan: additional points added from CPEEHO: Testing ongoing
6. GFC Indicator logic implemented in DB and changes ongoing in UI side.
7. Engineer App: Geo location enabled in iOS/Android-verification ongoing.
8. Implementation of Media Service in Java-Ongoing.
9. Website updates ongoing. NUC Registration portal: Changes Ongoing
10. SS Scoring logic and result declaration: understanding excel sheet
</t>
  </si>
  <si>
    <t xml:space="preserve">1. Maintenance activities: Daily ULB support, Website changes ongoing.
2. New SBM Dashboard 2.0 development: legacy waste &amp; Toilets: testing ongoing by PMU. 
3. DWR Mobile App pilot planned for dumpsite.
4. SS Handover: Session on SS scoring &amp; result finalization with IPSOS ongoing. Development setup &amp; Code configuration is ongoing, Mobile App – Code Configuration done. Doc prepared to update libraries which are old/outdated/deprecated.
</t>
  </si>
  <si>
    <t>Angular, AWS Cloud, mySQl, Posgresql, NodeJS, Java, MongoDB, RESTAPI, HTML, PHP, MicroService, Quicksight,CSS, Flutter</t>
  </si>
  <si>
    <t xml:space="preserve">1. Replacement of DevOps not finalized yet. Need to sensitize HR on this.
2.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</si>
  <si>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</si>
  <si>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</si>
  <si>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</si>
  <si>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</si>
  <si>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</si>
  <si>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</si>
  <si>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</si>
  <si>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</si>
  <si>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</si>
  <si>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</si>
  <si>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document and Attendance verification under processing.
4. Integration of UMANG App with CRS Portal
5. EPIC No Addition on death Certificate , Bilingural Languagesin QR Code , Certificate Cancellation Report, Water mark on UAT certificate ,
6. Bihar CRBD Form (11,12 &amp; 13)</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</si>
  <si>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</si>
  <si>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Family Care Tracker – Pilot Project (Integration of CRS BRN with Poshan Tracker, Techo+, and CTS Portals)
4. RU &amp; Jurisdiction Mapping Phase 4: Functionality for Merging and Splitting of RU Units
5. Puducherry states will join CRS portal from 1st Nov with three regional Languages.
6. Approval for Gaurang Rejected.
7.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</si>
  <si>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</si>
  <si>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</si>
  <si>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</si>
  <si>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</si>
  <si>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</si>
  <si>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</si>
  <si>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</si>
  <si>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</si>
  <si>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</si>
  <si>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</si>
  <si>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</si>
  <si>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All approvals received for JAS for invoice.
AMJ 80% Payment received.
Replacement of Linux developer is approved by WZU. We will upload the NDA by next week.
Refund Module- FRD completed &amp; submitted. Development in WIP.
WZU visited Tatwa along with CMS members to capturing all the security &amp; network parameters.  </t>
  </si>
  <si>
    <t>Refund Module- Targeting to complete by 31st Oct on UAT, as production date is given by WZU is 15th Nov 2025.
Submitting Invoice and getting approved ADG Sir.
Targeting to move Dwell time and E-mobility on production as VAPT is still in progress. 
Getting NDA document corrected and verify by Legal team.
Email thread for Onboarding dummy Resources with actual identity with internal as well as with WZU.</t>
  </si>
  <si>
    <t>Java Struts, For upgrade - TBD</t>
  </si>
  <si>
    <t xml:space="preserve">Closing 4 positions. 
Onboarding dummy Resources with actual identity. (2 types of Penalty).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</si>
  <si>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</si>
  <si>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</si>
  <si>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</si>
  <si>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</si>
  <si>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</si>
  <si>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</si>
  <si>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</si>
  <si>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</si>
  <si>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</si>
  <si>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</si>
  <si>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addressing production-related issues and delivering UAT feedback observations. We have delivered 8 UAT HRMS points, and 3 more HRMS points are planned for delivery. We are also delivering UAT observations for the Finance module. Additionally, 4 Finance UAT points are ready for delivery. From the BI tool, the HRMS and Legal dashboards have been developed and delivered to the client</t>
  </si>
  <si>
    <t>Finance module UAT and production issues related to employees.</t>
  </si>
  <si>
    <t>Spring Boot, Odoo, React JS, Apache, PostgreSQL, Postman, Moodle, Figma, Ubuntu, AWS Cloud, Flutter, React, Node JS</t>
  </si>
  <si>
    <t>N/A</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</si>
  <si>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</si>
  <si>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</si>
  <si>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</si>
  <si>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</si>
  <si>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</si>
  <si>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</si>
  <si>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</si>
  <si>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</si>
  <si>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</si>
  <si>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</si>
  <si>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</si>
  <si>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3 for Phase 1.
→ All Nine modules of Phase I development &amp; production deployment is done.
→ Drone moved to Phase II
→ BICRS development done, moved to UAT. Awaiting client sign-off.
→ Road Closure development done, moved to UAT. Awaiting client sign-off.
→ Phase II requirement gathering done for Road Closure, Document Repository, Critical Correspondence, and Payments, Schedule H, Highway QR.
→ Requirement gathering completed for CO Division (Onboarding, Toll Master)
→ Development in progress on
Document Repository
Critical Correspondence</t>
  </si>
  <si>
    <t>→ Deployment of BICRS on production.
→ Deployment of Road Closure on production.
→ Development of Highway QR, Document Repository, Critical Correspondence, CO Division (Onboarding, Toll Master) and feature enhancements from phase 1 modules.
→ Requirement gather for other modules of phase II - Schedule digitization (G, H &amp; M), correspondence module, Document Library, Payment for AE, Employee Directory</t>
  </si>
  <si>
    <t>No-SQL, Ruby, Python, Java, HTML, CSS, JavaScript, Angular, React, GIS/ML, Cloud - TBD, Node JS, Rest API</t>
  </si>
  <si>
    <t>→ Phase II timelines are quite tight considering the workload and current team capacity.
→ Timely onboarding of additional resources will be crucial.</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</si>
  <si>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</si>
  <si>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</si>
  <si>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</si>
  <si>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</si>
  <si>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</si>
  <si>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</si>
  <si>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</si>
  <si>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</si>
  <si>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Krishi MApper
• API Consumption
1. AMI API: reflecting on GIS/Survey Count dashboard 
2. Mahadbt-API/patanjali API/karnatka RKVY API  : WIP
• Scheme on boarding
1. PKVY : feedback shared from tester - WIP for fixing issue
2. oil seed Assets : feedback shared from tester - WIP for fixing issue
3. NBM : testing on progress
• Power BI Dashboard : Need to incorporate with API to get updated data
• Count Dashboard— FY wise / scheme wise / state wise : testing going on over staging
• GIS Dashboard : API/query optimization for data
Natural Farming :
• Fixing users highlighted issue
AI-KOSH
• APIs to share for metadata for all scheme : some APIs are shared : meeting schedule for review of API
Krishi Unnati
• MIS report discussed with client. Some design will shared to freeze before development start
</t>
  </si>
  <si>
    <t xml:space="preserve">
Krishi MApper
• API Consumption
1. Data count to show over dashoard for state API which is consumed
2. Mahadbt-API/patanjali API/karnatka RKVY API  : consume and show over dashboard
• Scheme on boarding
1. PKVY : deploy over production/play store
2. oil seed Assets : deploy over production/play store
3. NBM : deploy over production/play store
• Power BI Dashboard : deploy over production
• Count Dashboard— FY wise / scheme wise / state wise : deploy over production
• GIS Dashboard :deploy over production
Natural Farming :
• Fixing users highlighted issue
AI-KOSH
• APIs to share for metadata for all scheme : all APIs to be share
Krishi Unnati
• MIS report : work on report</t>
  </si>
  <si>
    <t>C#, ASP.NET, MVC, .NET Core, Visual Studio, HTML5, CSS3, RESTful API, MERN, flutter, react Native, MS SQL, e-Office</t>
  </si>
  <si>
    <t xml:space="preserve">
GIS dashboard/survey count query issue : query is more complex and need to optimize.
A dedicated database developer is required at our end to fix it : one developer is already shortlisted and mailed for the further process
  </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</si>
  <si>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</si>
  <si>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</si>
  <si>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</si>
  <si>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</si>
  <si>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</si>
  <si>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</si>
  <si>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</si>
  <si>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</si>
  <si>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</si>
  <si>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</si>
  <si>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</si>
  <si>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NA</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</si>
  <si>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</si>
  <si>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</si>
  <si>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</si>
  <si>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</si>
  <si>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</si>
  <si>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</si>
  <si>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</si>
  <si>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</si>
  <si>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</si>
  <si>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JJA25 &amp; SON25 Qtr</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</si>
  <si>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 Coordination with vendor Text Local for redemption of credit points on vendor's migration to new portal
8)Follow-up on procurement of batteries, smart parking sensors, HDD for LPU's,</t>
  </si>
  <si>
    <t xml:space="preserve">1) ATCS 23 junction activity work has suffered due to vendor M/s SPIT inactions in expediting works  
2)Vendor Videonetics "Time for Red" feature not yet been delivered despite the forgone timeline. Client now want to replace CMS.
3)Battery order is awaited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Messaging vendor Text local have retired its services and recommended another enterprise Arihant global whose credit top up is required. Absence of it shall stall GPR &amp; Wi-fi services in the proj
8) DR/DC – The OEM ESDS services has expired in Dec’24 and has been disabled.  
9)Client’s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</si>
  <si>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</si>
  <si>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</si>
  <si>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</si>
  <si>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</si>
  <si>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</si>
  <si>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</si>
  <si>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</si>
  <si>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</si>
  <si>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</si>
  <si>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</si>
  <si>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</si>
  <si>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</si>
  <si>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</si>
  <si>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</si>
  <si>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</si>
  <si>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</si>
  <si>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</si>
  <si>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</si>
  <si>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</si>
  <si>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</si>
  <si>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</si>
  <si>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and Final capex billing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</si>
  <si>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</si>
  <si>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</si>
  <si>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</si>
  <si>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</si>
  <si>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</si>
  <si>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</si>
  <si>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</si>
  <si>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</si>
  <si>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Pending one junction light installation </t>
  </si>
  <si>
    <t xml:space="preserve">20 no CDT and 5 no of DC controller spare material procurement pending since long time.---VMC ATCS
22 no of UCON 10 controller we needs to replace.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</si>
  <si>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</si>
  <si>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</si>
  <si>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</si>
  <si>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</si>
  <si>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</si>
  <si>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</si>
  <si>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</si>
  <si>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</si>
  <si>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 xml:space="preserve">1. In accordance with the direction issued by the Hon’ble High Court, the bank guarantee (BG) submitted by the contractor for the MOG Land Monetisation project has been found to be forged. Consequently, the bank account of the Smart City entity connected to this project has been frozen, together with all associated funds.
2. As of today, the Smart City entity has no available funds in its bank account for project mobilization or disbursement.
</t>
  </si>
  <si>
    <t>1. Draft letter as per submitted GO-Live letter are under review by CEO sir. Expected to received final letter in upcoming week.</t>
  </si>
  <si>
    <t>1. There is no clarity against the payment availability at Smart city.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</si>
  <si>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</si>
  <si>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</si>
  <si>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</si>
  <si>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</si>
  <si>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</si>
  <si>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</si>
  <si>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</si>
  <si>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</si>
  <si>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</si>
  <si>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 xml:space="preserve">Fixing the bugs and enhancements in all the modules.
Started working on Liferay website upgrade.
</t>
  </si>
  <si>
    <t>Fixing the bugs and enhancements in all the modules.
Planning to start the FA CO modules development.
Will continue with Website upgrades.</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</si>
  <si>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</si>
  <si>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</si>
  <si>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</si>
  <si>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</si>
  <si>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</si>
  <si>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</si>
  <si>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</si>
  <si>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</si>
  <si>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</si>
  <si>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</si>
  <si>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</si>
  <si>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10/20 Nos. ECB enclosure foundation done.
5. All materials delivered at site as per PO Qty.
6. 97% billing done.
7. Accessories not yet delivered.
8. 4 Nos. VMD foundation pending 
9. 10 ECB foundation work in progress.
10. Cable laying, connection, configuration and commissioning pending. </t>
  </si>
  <si>
    <t xml:space="preserve">1. 10 Nos. ECB foundation work.
2. 4 Nos. VMD foundation work. </t>
  </si>
  <si>
    <t xml:space="preserve">1. Accessories not yet purchased and delivered. Pending from purchase.
2. VMD controller not yet delivered. Pending due to payment issue.
3. Cable laying, digging, etc work order not yet given to local vendor. Pending from purchase.
4. VMD installation vendor (Bonsai) SOW issue and payment issue. Need to be closed immediately.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</si>
  <si>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</si>
  <si>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</si>
  <si>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</si>
  <si>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</si>
  <si>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</si>
  <si>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</si>
  <si>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</si>
  <si>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</si>
  <si>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</si>
  <si>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 xml:space="preserve">New 5 Candidates selected, trained and joined till 6th November,2025
 </t>
  </si>
  <si>
    <t>Shortlist, Interview and Train new 20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</si>
  <si>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</si>
  <si>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</si>
  <si>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</si>
  <si>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</si>
  <si>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</si>
  <si>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</si>
  <si>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</si>
  <si>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</si>
  <si>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</si>
  <si>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</si>
  <si>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</si>
  <si>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installed in NOC room. Ready for use.
Substations 1–3 (MFM): Network setup done; awaiting switch installation/port enabling by JNPA. CMS to enable data retrieval in 2–3 days post availability.
Main Substation (MFM): Communication established; awaiting API support from JNPA SCADA vendor for EEMS integration.
ABT Meters: Installed; awaiting series connection by MSETCL and switch port activation by JNPA.
RMU Panels: Survey completed; awaiting OFC network and switch from JNPA to start communication setup.
Water Flow Meters: 62 delivered, 5 installed; infra readiness awaited from Water Dept. ~30 more (40 mm) to be installed.
Consumer Billing Meters: MPLS connectivity to NOC server established; link testing in progress before SIM and modem setup.
Cloud Registration: AWS account created and active.
Software: Deployed on NOC server; all modules integrated, supports multi-user access. Enhancements to follow with live data.</t>
  </si>
  <si>
    <t>MPLS setup is completed, and sim card testing is planned for this week.</t>
  </si>
  <si>
    <t>PostgreSQL, DLMS, MODBUS, GPRS, Python, DotNet MVC</t>
  </si>
  <si>
    <t xml:space="preserve">Network Dependencies: Delays in switch installation and port enabling by JNPA vendors.
Third-Party Coordination: Awaited responses from MSETCL and JNPA SCADA vendors affecting integration timelines.
Infrastructure Readiness: Pending civil and electrical works (valves, ducts, power) for water meter installation.
Data Integration Delays: API details and testing dependencies slowing EEMS integration.
MPLS Link Testing: Ongoing testing could delay consumer meter data flow.
Scope Clarifications: Pending confirmation of revised SEZ and RMU scope.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</si>
  <si>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</si>
  <si>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</si>
  <si>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</si>
  <si>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</si>
  <si>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</si>
  <si>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</si>
  <si>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</si>
  <si>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</si>
  <si>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</si>
  <si>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</si>
  <si>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
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Module work in progress
1.Inspection 2.Workshop
</t>
  </si>
  <si>
    <t xml:space="preserve">1. Working on Inspection 
and 2. Workshop module 
</t>
  </si>
  <si>
    <t>JAVA 17, Springboot, PostgreSql, React, AWS Cloud, Microservices, NodeJS, Postman, Apache Tomcat webserver, SSL, Oauth, AWS ECS</t>
  </si>
  <si>
    <t>1.	Due to continuous changes in PRD and Figma designs, development work is in progress.
2. The project comprises 302 screens (132 complex, 170 average), spanning Fabrication, Inspection, Workshop, and Approval modules.
3. Fabrication and Inspection modules exhibit high complexity owing to multiple process stages such as WPQR, Raw Material, Welding, and Assembly.
4.Approval workflows involving multi-level roles (Agency, ADE/B&amp;S, Directors) add significant logic, validation, and access control complexity.</t>
  </si>
  <si>
    <t>DIC NOC</t>
  </si>
  <si>
    <t>DIGITAL INDIA CORP - NOC</t>
  </si>
  <si>
    <t>Start Date (PO) : 03-Jul-25 :: End Date (PO) : Order to log</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</si>
  <si>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</si>
  <si>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</si>
  <si>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</si>
  <si>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</si>
  <si>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</si>
  <si>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</si>
  <si>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</si>
  <si>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</si>
  <si>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</si>
  <si>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</si>
  <si>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</si>
  <si>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</si>
  <si>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 Main website has been developed, and we are currently implementing feedback received from ITPO.
- Enhancements to the Admin Panel functionality are underway.
- Knowledge transfer (KT) for the Booking Portal is in progress.
</t>
  </si>
  <si>
    <t>- New Figma designs for the inner pages are in progress. Once approved, the inner pages will be redeveloped accordingly.
- Knowledge Transfer (KT) activities will continue.
- Newly developed corporate website is expected to go live soon.</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</si>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</sst>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0">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29FFB86E-8B62-46D9-96ED-7425BCCA1CB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1AA33-11E1-467A-BC98-7013A8077528}">
  <dimension ref="A1:AD22"/>
  <sheetViews>
    <sheetView tabSelected="1" workbookViewId="0">
      <selection sqref="A1:AD22"/>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55.000000000000007</v>
      </c>
      <c r="L2" s="9">
        <v>206.12414119999949</v>
      </c>
      <c r="M2" s="8">
        <v>186.72101040000018</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45967</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7.0000000000000009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45960</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434.41276180000017</v>
      </c>
      <c r="I4" s="8">
        <v>67</v>
      </c>
      <c r="J4" s="8">
        <v>501.41276180000017</v>
      </c>
      <c r="K4" s="8">
        <v>71</v>
      </c>
      <c r="L4" s="9">
        <v>415.40868667457613</v>
      </c>
      <c r="M4" s="8">
        <v>180.89820959999989</v>
      </c>
      <c r="N4" s="8">
        <v>0</v>
      </c>
      <c r="O4" s="8" t="s">
        <v>60</v>
      </c>
      <c r="P4" s="10">
        <v>0.51118121645407766</v>
      </c>
      <c r="Q4" s="11" t="s">
        <v>35</v>
      </c>
      <c r="R4" s="11" t="s">
        <v>61</v>
      </c>
      <c r="S4" s="11" t="s">
        <v>62</v>
      </c>
      <c r="T4" s="11" t="s">
        <v>63</v>
      </c>
      <c r="U4" s="11" t="s">
        <v>64</v>
      </c>
      <c r="V4" s="11" t="s">
        <v>65</v>
      </c>
      <c r="W4" s="11" t="s">
        <v>66</v>
      </c>
      <c r="X4" s="11" t="s">
        <v>67</v>
      </c>
      <c r="Y4" s="11" t="s">
        <v>68</v>
      </c>
      <c r="Z4" s="12">
        <v>45960</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273</v>
      </c>
      <c r="J5" s="8">
        <v>952.61924999999997</v>
      </c>
      <c r="K5" s="8">
        <v>352</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45953</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186</v>
      </c>
      <c r="J6" s="8">
        <v>683.67499999999995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t="s">
        <v>97</v>
      </c>
      <c r="Z6" s="12">
        <v>45957</v>
      </c>
      <c r="AA6" s="13" t="s">
        <v>98</v>
      </c>
      <c r="AB6" s="13" t="s">
        <v>98</v>
      </c>
      <c r="AC6" s="14" t="s">
        <v>86</v>
      </c>
      <c r="AD6" s="15" t="s">
        <v>99</v>
      </c>
    </row>
    <row r="7" spans="1:30" x14ac:dyDescent="0.25">
      <c r="A7" s="5">
        <v>6</v>
      </c>
      <c r="B7" s="6" t="s">
        <v>100</v>
      </c>
      <c r="C7" s="7" t="s">
        <v>101</v>
      </c>
      <c r="D7" s="7" t="s">
        <v>102</v>
      </c>
      <c r="E7" s="7" t="s">
        <v>32</v>
      </c>
      <c r="F7" s="7" t="s">
        <v>87</v>
      </c>
      <c r="G7" s="8">
        <v>2186.2800000000002</v>
      </c>
      <c r="H7" s="8">
        <v>325.5</v>
      </c>
      <c r="I7" s="8">
        <v>111.00000000000001</v>
      </c>
      <c r="J7" s="8">
        <v>436.5</v>
      </c>
      <c r="K7" s="8">
        <v>204.99999999999997</v>
      </c>
      <c r="L7" s="9">
        <v>1860.7800000000002</v>
      </c>
      <c r="M7" s="8">
        <v>325.5</v>
      </c>
      <c r="N7" s="8">
        <v>0</v>
      </c>
      <c r="O7" s="8" t="s">
        <v>103</v>
      </c>
      <c r="P7" s="10">
        <v>0.14888303419507107</v>
      </c>
      <c r="Q7" s="11" t="s">
        <v>104</v>
      </c>
      <c r="R7" s="11" t="s">
        <v>105</v>
      </c>
      <c r="S7" s="11" t="s">
        <v>106</v>
      </c>
      <c r="T7" s="11" t="s">
        <v>107</v>
      </c>
      <c r="U7" s="11" t="s">
        <v>108</v>
      </c>
      <c r="V7" s="11" t="s">
        <v>109</v>
      </c>
      <c r="W7" s="11" t="s">
        <v>110</v>
      </c>
      <c r="X7" s="11" t="s">
        <v>111</v>
      </c>
      <c r="Y7" s="11" t="s">
        <v>112</v>
      </c>
      <c r="Z7" s="12">
        <v>45960</v>
      </c>
      <c r="AA7" s="13">
        <v>0.15992064345319656</v>
      </c>
      <c r="AB7" s="13">
        <v>0.32590705634920647</v>
      </c>
      <c r="AC7" s="14" t="s">
        <v>101</v>
      </c>
      <c r="AD7" s="15" t="s">
        <v>113</v>
      </c>
    </row>
    <row r="8" spans="1:30" x14ac:dyDescent="0.25">
      <c r="A8" s="5">
        <v>7</v>
      </c>
      <c r="B8" s="6" t="s">
        <v>114</v>
      </c>
      <c r="C8" s="7" t="s">
        <v>115</v>
      </c>
      <c r="D8" s="7" t="s">
        <v>116</v>
      </c>
      <c r="E8" s="7" t="s">
        <v>32</v>
      </c>
      <c r="F8" s="7" t="s">
        <v>33</v>
      </c>
      <c r="G8" s="8">
        <v>1606.08</v>
      </c>
      <c r="H8" s="8">
        <v>564.73653049999996</v>
      </c>
      <c r="I8" s="8">
        <v>68</v>
      </c>
      <c r="J8" s="8">
        <v>632.73653049999996</v>
      </c>
      <c r="K8" s="8">
        <v>179</v>
      </c>
      <c r="L8" s="9">
        <v>1041.3434695000001</v>
      </c>
      <c r="M8" s="8">
        <v>453.21092499999997</v>
      </c>
      <c r="N8" s="8">
        <v>0</v>
      </c>
      <c r="O8" s="8" t="s">
        <v>60</v>
      </c>
      <c r="P8" s="10">
        <v>0.35162415975542938</v>
      </c>
      <c r="Q8" s="11" t="s">
        <v>35</v>
      </c>
      <c r="R8" s="11" t="s">
        <v>117</v>
      </c>
      <c r="S8" s="11" t="s">
        <v>118</v>
      </c>
      <c r="T8" s="11" t="s">
        <v>119</v>
      </c>
      <c r="U8" s="11" t="s">
        <v>120</v>
      </c>
      <c r="V8" s="11" t="s">
        <v>121</v>
      </c>
      <c r="W8" s="11" t="s">
        <v>122</v>
      </c>
      <c r="X8" s="11" t="s">
        <v>123</v>
      </c>
      <c r="Y8" s="11" t="s">
        <v>124</v>
      </c>
      <c r="Z8" s="12">
        <v>45939</v>
      </c>
      <c r="AA8" s="13">
        <v>0.1099999998749408</v>
      </c>
      <c r="AB8" s="13">
        <v>0.10999999996973608</v>
      </c>
      <c r="AC8" s="14" t="s">
        <v>115</v>
      </c>
      <c r="AD8" s="15" t="s">
        <v>125</v>
      </c>
    </row>
    <row r="9" spans="1:30" x14ac:dyDescent="0.25">
      <c r="A9" s="5">
        <v>8</v>
      </c>
      <c r="B9" s="6" t="s">
        <v>126</v>
      </c>
      <c r="C9" s="7" t="s">
        <v>126</v>
      </c>
      <c r="D9" s="7" t="s">
        <v>126</v>
      </c>
      <c r="E9" s="7" t="s">
        <v>73</v>
      </c>
      <c r="F9" s="7" t="s">
        <v>127</v>
      </c>
      <c r="G9" s="8">
        <v>1372.5805700000001</v>
      </c>
      <c r="H9" s="8">
        <v>430.5498189000001</v>
      </c>
      <c r="I9" s="8">
        <v>23</v>
      </c>
      <c r="J9" s="8">
        <v>453.5498189000001</v>
      </c>
      <c r="K9" s="8">
        <v>244</v>
      </c>
      <c r="L9" s="9">
        <v>942.03075109999997</v>
      </c>
      <c r="M9" s="8">
        <v>74.732390099999975</v>
      </c>
      <c r="N9" s="8">
        <v>0</v>
      </c>
      <c r="O9" s="8" t="s">
        <v>128</v>
      </c>
      <c r="P9" s="10">
        <v>0.31367908617561158</v>
      </c>
      <c r="Q9" s="11" t="s">
        <v>129</v>
      </c>
      <c r="R9" s="11" t="s">
        <v>130</v>
      </c>
      <c r="S9" s="11" t="s">
        <v>131</v>
      </c>
      <c r="T9" s="11" t="s">
        <v>132</v>
      </c>
      <c r="U9" s="11" t="s">
        <v>133</v>
      </c>
      <c r="V9" s="11" t="s">
        <v>134</v>
      </c>
      <c r="W9" s="11" t="s">
        <v>135</v>
      </c>
      <c r="X9" s="11" t="s">
        <v>136</v>
      </c>
      <c r="Y9" s="11" t="s">
        <v>137</v>
      </c>
      <c r="Z9" s="12">
        <v>45967</v>
      </c>
      <c r="AA9" s="13">
        <v>0.16973100550277276</v>
      </c>
      <c r="AB9" s="13">
        <v>0.11441806775377272</v>
      </c>
      <c r="AC9" s="14" t="s">
        <v>126</v>
      </c>
      <c r="AD9" s="15" t="s">
        <v>138</v>
      </c>
    </row>
    <row r="10" spans="1:30" x14ac:dyDescent="0.25">
      <c r="A10" s="5">
        <v>9</v>
      </c>
      <c r="B10" s="6" t="s">
        <v>139</v>
      </c>
      <c r="C10" s="7" t="s">
        <v>140</v>
      </c>
      <c r="D10" s="7" t="s">
        <v>139</v>
      </c>
      <c r="E10" s="7" t="s">
        <v>32</v>
      </c>
      <c r="F10" s="7" t="s">
        <v>127</v>
      </c>
      <c r="G10" s="8">
        <v>5337.5</v>
      </c>
      <c r="H10" s="8">
        <v>3431.25</v>
      </c>
      <c r="I10" s="8">
        <v>762</v>
      </c>
      <c r="J10" s="8">
        <v>4193.25</v>
      </c>
      <c r="K10" s="8">
        <v>923</v>
      </c>
      <c r="L10" s="9">
        <v>1906.25</v>
      </c>
      <c r="M10" s="8">
        <v>762.5</v>
      </c>
      <c r="N10" s="8">
        <v>0</v>
      </c>
      <c r="O10" s="8" t="s">
        <v>141</v>
      </c>
      <c r="P10" s="10">
        <v>0.6428571428571429</v>
      </c>
      <c r="Q10" s="11" t="s">
        <v>75</v>
      </c>
      <c r="R10" s="11" t="s">
        <v>142</v>
      </c>
      <c r="S10" s="11" t="s">
        <v>143</v>
      </c>
      <c r="T10" s="11" t="s">
        <v>144</v>
      </c>
      <c r="U10" s="11" t="s">
        <v>145</v>
      </c>
      <c r="V10" s="11" t="s">
        <v>146</v>
      </c>
      <c r="W10" s="11" t="s">
        <v>147</v>
      </c>
      <c r="X10" s="11" t="s">
        <v>136</v>
      </c>
      <c r="Y10" s="11" t="s">
        <v>148</v>
      </c>
      <c r="Z10" s="12">
        <v>45960</v>
      </c>
      <c r="AA10" s="13">
        <v>0.34945618360655739</v>
      </c>
      <c r="AB10" s="13">
        <v>0.51229508024724535</v>
      </c>
      <c r="AC10" s="14" t="s">
        <v>140</v>
      </c>
      <c r="AD10" s="15" t="s">
        <v>149</v>
      </c>
    </row>
    <row r="11" spans="1:30" x14ac:dyDescent="0.25">
      <c r="A11" s="5">
        <v>10</v>
      </c>
      <c r="B11" s="6" t="s">
        <v>150</v>
      </c>
      <c r="C11" s="7" t="s">
        <v>151</v>
      </c>
      <c r="D11" s="7" t="s">
        <v>151</v>
      </c>
      <c r="E11" s="7" t="s">
        <v>152</v>
      </c>
      <c r="F11" s="7" t="s">
        <v>153</v>
      </c>
      <c r="G11" s="8">
        <v>680.69294500000001</v>
      </c>
      <c r="H11" s="8">
        <v>257.29620160000007</v>
      </c>
      <c r="I11" s="8">
        <v>22</v>
      </c>
      <c r="J11" s="8">
        <v>279.29620160000007</v>
      </c>
      <c r="K11" s="8">
        <v>33</v>
      </c>
      <c r="L11" s="9">
        <v>423.39674339999993</v>
      </c>
      <c r="M11" s="8">
        <v>38.191476400000006</v>
      </c>
      <c r="N11" s="8">
        <v>0</v>
      </c>
      <c r="O11" s="8" t="s">
        <v>154</v>
      </c>
      <c r="P11" s="10">
        <v>0.37799157974231695</v>
      </c>
      <c r="Q11" s="11" t="s">
        <v>35</v>
      </c>
      <c r="R11" s="11" t="s">
        <v>155</v>
      </c>
      <c r="S11" s="11" t="s">
        <v>37</v>
      </c>
      <c r="T11" s="11" t="s">
        <v>156</v>
      </c>
      <c r="U11" s="11" t="s">
        <v>157</v>
      </c>
      <c r="V11" s="11" t="s">
        <v>158</v>
      </c>
      <c r="W11" s="11" t="s">
        <v>159</v>
      </c>
      <c r="X11" s="11" t="s">
        <v>136</v>
      </c>
      <c r="Y11" s="11">
        <v>0</v>
      </c>
      <c r="Z11" s="12">
        <v>45960</v>
      </c>
      <c r="AA11" s="13">
        <v>-1.2010821392234354</v>
      </c>
      <c r="AB11" s="13">
        <v>0.12040585230689282</v>
      </c>
      <c r="AC11" s="14" t="s">
        <v>151</v>
      </c>
      <c r="AD11" s="15" t="s">
        <v>160</v>
      </c>
    </row>
    <row r="12" spans="1:30" x14ac:dyDescent="0.25">
      <c r="A12" s="5">
        <v>11</v>
      </c>
      <c r="B12" s="6" t="s">
        <v>161</v>
      </c>
      <c r="C12" s="7" t="s">
        <v>162</v>
      </c>
      <c r="D12" s="7" t="s">
        <v>162</v>
      </c>
      <c r="E12" s="7" t="s">
        <v>73</v>
      </c>
      <c r="F12" s="7" t="s">
        <v>127</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136</v>
      </c>
      <c r="Y12" s="11" t="s">
        <v>171</v>
      </c>
      <c r="Z12" s="12">
        <v>45954</v>
      </c>
      <c r="AA12" s="13">
        <v>-0.51352273844110385</v>
      </c>
      <c r="AB12" s="13">
        <v>0.18000000439604424</v>
      </c>
      <c r="AC12" s="14" t="s">
        <v>162</v>
      </c>
      <c r="AD12" s="15" t="s">
        <v>172</v>
      </c>
    </row>
    <row r="13" spans="1:30" x14ac:dyDescent="0.25">
      <c r="A13" s="5">
        <v>12</v>
      </c>
      <c r="B13" s="6" t="s">
        <v>173</v>
      </c>
      <c r="C13" s="7" t="s">
        <v>174</v>
      </c>
      <c r="D13" s="7" t="s">
        <v>173</v>
      </c>
      <c r="E13" s="7" t="s">
        <v>73</v>
      </c>
      <c r="F13" s="7" t="s">
        <v>127</v>
      </c>
      <c r="G13" s="8">
        <v>2019.8763390000001</v>
      </c>
      <c r="H13" s="8">
        <v>331.99717679999998</v>
      </c>
      <c r="I13" s="8">
        <v>0</v>
      </c>
      <c r="J13" s="8">
        <v>331.99717679999998</v>
      </c>
      <c r="K13" s="8">
        <v>0</v>
      </c>
      <c r="L13" s="9">
        <v>1687.8791622000001</v>
      </c>
      <c r="M13" s="8">
        <v>171.16043740000003</v>
      </c>
      <c r="N13" s="8">
        <v>0</v>
      </c>
      <c r="O13" s="8" t="s">
        <v>154</v>
      </c>
      <c r="P13" s="10">
        <v>0.1643651001745805</v>
      </c>
      <c r="Q13" s="11" t="s">
        <v>75</v>
      </c>
      <c r="R13" s="11" t="s">
        <v>175</v>
      </c>
      <c r="S13" s="11">
        <v>0</v>
      </c>
      <c r="T13" s="11" t="s">
        <v>176</v>
      </c>
      <c r="U13" s="11" t="s">
        <v>177</v>
      </c>
      <c r="V13" s="11" t="s">
        <v>178</v>
      </c>
      <c r="W13" s="11" t="s">
        <v>179</v>
      </c>
      <c r="X13" s="11" t="s">
        <v>136</v>
      </c>
      <c r="Y13" s="11" t="s">
        <v>180</v>
      </c>
      <c r="Z13" s="12">
        <v>45960</v>
      </c>
      <c r="AA13" s="13">
        <v>0.20489999986167973</v>
      </c>
      <c r="AB13" s="13">
        <v>0.2046391013686556</v>
      </c>
      <c r="AC13" s="14" t="s">
        <v>174</v>
      </c>
      <c r="AD13" s="15" t="s">
        <v>172</v>
      </c>
    </row>
    <row r="14" spans="1:30" x14ac:dyDescent="0.25">
      <c r="A14" s="5">
        <v>13</v>
      </c>
      <c r="B14" s="6" t="s">
        <v>181</v>
      </c>
      <c r="C14" s="7" t="s">
        <v>182</v>
      </c>
      <c r="D14" s="7" t="s">
        <v>183</v>
      </c>
      <c r="E14" s="7" t="s">
        <v>73</v>
      </c>
      <c r="F14" s="7" t="s">
        <v>127</v>
      </c>
      <c r="G14" s="8">
        <v>2903.04126</v>
      </c>
      <c r="H14" s="8">
        <v>1722.0305597000006</v>
      </c>
      <c r="I14" s="8">
        <v>15</v>
      </c>
      <c r="J14" s="8">
        <v>1737.0305597000006</v>
      </c>
      <c r="K14" s="8">
        <v>977</v>
      </c>
      <c r="L14" s="9">
        <v>1181.0107002999994</v>
      </c>
      <c r="M14" s="8">
        <v>54.821240000000003</v>
      </c>
      <c r="N14" s="8">
        <v>0</v>
      </c>
      <c r="O14" s="8" t="s">
        <v>184</v>
      </c>
      <c r="P14" s="10">
        <v>0.59318156563162339</v>
      </c>
      <c r="Q14" s="11" t="s">
        <v>75</v>
      </c>
      <c r="R14" s="11" t="s">
        <v>185</v>
      </c>
      <c r="S14" s="11" t="s">
        <v>186</v>
      </c>
      <c r="T14" s="11" t="s">
        <v>187</v>
      </c>
      <c r="U14" s="11" t="s">
        <v>188</v>
      </c>
      <c r="V14" s="11" t="s">
        <v>189</v>
      </c>
      <c r="W14" s="11" t="s">
        <v>190</v>
      </c>
      <c r="X14" s="11" t="s">
        <v>136</v>
      </c>
      <c r="Y14" s="11" t="s">
        <v>191</v>
      </c>
      <c r="Z14" s="12">
        <v>45967</v>
      </c>
      <c r="AA14" s="13">
        <v>5.8906222519107154E-2</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45960</v>
      </c>
      <c r="AA15" s="13" t="s">
        <v>98</v>
      </c>
      <c r="AB15" s="13">
        <v>-9.5509698226650848</v>
      </c>
      <c r="AC15" s="14" t="s">
        <v>194</v>
      </c>
      <c r="AD15" s="15" t="s">
        <v>205</v>
      </c>
    </row>
    <row r="16" spans="1:30" x14ac:dyDescent="0.25">
      <c r="A16" s="5">
        <v>15</v>
      </c>
      <c r="B16" s="6" t="s">
        <v>206</v>
      </c>
      <c r="C16" s="7" t="s">
        <v>207</v>
      </c>
      <c r="D16" s="7" t="s">
        <v>206</v>
      </c>
      <c r="E16" s="7" t="s">
        <v>208</v>
      </c>
      <c r="F16" s="7" t="s">
        <v>127</v>
      </c>
      <c r="G16" s="8">
        <v>669.18430290000003</v>
      </c>
      <c r="H16" s="8">
        <v>662.96125290000009</v>
      </c>
      <c r="I16" s="8">
        <v>18</v>
      </c>
      <c r="J16" s="8">
        <v>680.96125290000009</v>
      </c>
      <c r="K16" s="8">
        <v>411.00000000000006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136</v>
      </c>
      <c r="Y16" s="11" t="s">
        <v>216</v>
      </c>
      <c r="Z16" s="12">
        <v>45960</v>
      </c>
      <c r="AA16" s="13">
        <v>0.21114271514376304</v>
      </c>
      <c r="AB16" s="13">
        <v>0.20000000003501683</v>
      </c>
      <c r="AC16" s="14" t="s">
        <v>207</v>
      </c>
      <c r="AD16" s="15" t="s">
        <v>217</v>
      </c>
    </row>
    <row r="17" spans="1:30" x14ac:dyDescent="0.25">
      <c r="A17" s="5">
        <v>16</v>
      </c>
      <c r="B17" s="6" t="s">
        <v>218</v>
      </c>
      <c r="C17" s="7" t="s">
        <v>219</v>
      </c>
      <c r="D17" s="7" t="s">
        <v>220</v>
      </c>
      <c r="E17" s="7" t="s">
        <v>73</v>
      </c>
      <c r="F17" s="7" t="s">
        <v>127</v>
      </c>
      <c r="G17" s="8">
        <v>437.16408000000001</v>
      </c>
      <c r="H17" s="8">
        <v>433.08388200000002</v>
      </c>
      <c r="I17" s="8">
        <v>72</v>
      </c>
      <c r="J17" s="8">
        <v>505.08388200000002</v>
      </c>
      <c r="K17" s="8">
        <v>188</v>
      </c>
      <c r="L17" s="9">
        <v>4.0801979999999958</v>
      </c>
      <c r="M17" s="8">
        <v>433.08388200000002</v>
      </c>
      <c r="N17" s="8">
        <v>0</v>
      </c>
      <c r="O17" s="8" t="s">
        <v>221</v>
      </c>
      <c r="P17" s="10">
        <v>0.99066666684966431</v>
      </c>
      <c r="Q17" s="11" t="s">
        <v>35</v>
      </c>
      <c r="R17" s="11" t="s">
        <v>222</v>
      </c>
      <c r="S17" s="11" t="s">
        <v>223</v>
      </c>
      <c r="T17" s="11" t="s">
        <v>224</v>
      </c>
      <c r="U17" s="11" t="s">
        <v>225</v>
      </c>
      <c r="V17" s="11" t="s">
        <v>226</v>
      </c>
      <c r="W17" s="11" t="s">
        <v>227</v>
      </c>
      <c r="X17" s="11" t="s">
        <v>136</v>
      </c>
      <c r="Y17" s="11" t="s">
        <v>228</v>
      </c>
      <c r="Z17" s="12">
        <v>45967</v>
      </c>
      <c r="AA17" s="13">
        <v>0.60186008759672394</v>
      </c>
      <c r="AB17" s="13" t="s">
        <v>98</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132</v>
      </c>
      <c r="L18" s="9">
        <v>2.2033901814211276E-8</v>
      </c>
      <c r="M18" s="8">
        <v>171.31355930000001</v>
      </c>
      <c r="N18" s="8">
        <v>0</v>
      </c>
      <c r="O18" s="8" t="s">
        <v>234</v>
      </c>
      <c r="P18" s="10">
        <v>0.99999999987138266</v>
      </c>
      <c r="Q18" s="11" t="s">
        <v>235</v>
      </c>
      <c r="R18" s="11" t="s">
        <v>236</v>
      </c>
      <c r="S18" s="11" t="s">
        <v>237</v>
      </c>
      <c r="T18" s="11" t="s">
        <v>238</v>
      </c>
      <c r="U18" s="29" t="s">
        <v>287</v>
      </c>
      <c r="V18" s="11" t="s">
        <v>239</v>
      </c>
      <c r="W18" s="11" t="s">
        <v>240</v>
      </c>
      <c r="X18" s="11" t="s">
        <v>241</v>
      </c>
      <c r="Y18" s="11" t="s">
        <v>242</v>
      </c>
      <c r="Z18" s="12">
        <v>45967</v>
      </c>
      <c r="AA18" s="13">
        <v>0.22378829916704679</v>
      </c>
      <c r="AB18" s="13" t="s">
        <v>98</v>
      </c>
      <c r="AC18" s="14" t="s">
        <v>231</v>
      </c>
      <c r="AD18" s="15" t="s">
        <v>243</v>
      </c>
    </row>
    <row r="19" spans="1:30" x14ac:dyDescent="0.25">
      <c r="A19" s="5">
        <v>18</v>
      </c>
      <c r="B19" s="6" t="s">
        <v>244</v>
      </c>
      <c r="C19" s="7" t="s">
        <v>245</v>
      </c>
      <c r="D19" s="7" t="s">
        <v>246</v>
      </c>
      <c r="E19" s="7" t="s">
        <v>32</v>
      </c>
      <c r="F19" s="7" t="s">
        <v>87</v>
      </c>
      <c r="G19" s="8">
        <v>111.36</v>
      </c>
      <c r="H19" s="8">
        <v>33.408000000000001</v>
      </c>
      <c r="I19" s="8">
        <v>0</v>
      </c>
      <c r="J19" s="8">
        <v>33.408000000000001</v>
      </c>
      <c r="K19" s="8">
        <v>0</v>
      </c>
      <c r="L19" s="9">
        <v>77.951999999999998</v>
      </c>
      <c r="M19" s="8">
        <v>33.408000000000001</v>
      </c>
      <c r="N19" s="8">
        <v>0</v>
      </c>
      <c r="O19" s="8" t="s">
        <v>247</v>
      </c>
      <c r="P19" s="10">
        <v>0.3</v>
      </c>
      <c r="Q19" s="11" t="s">
        <v>248</v>
      </c>
      <c r="R19" s="11" t="s">
        <v>249</v>
      </c>
      <c r="S19" s="11" t="s">
        <v>250</v>
      </c>
      <c r="T19" s="11" t="s">
        <v>251</v>
      </c>
      <c r="U19" s="11" t="s">
        <v>252</v>
      </c>
      <c r="V19" s="11" t="s">
        <v>253</v>
      </c>
      <c r="W19" s="11" t="s">
        <v>254</v>
      </c>
      <c r="X19" s="11" t="s">
        <v>255</v>
      </c>
      <c r="Y19" s="11" t="s">
        <v>256</v>
      </c>
      <c r="Z19" s="12">
        <v>45960</v>
      </c>
      <c r="AA19" s="13">
        <v>0.86590914152298848</v>
      </c>
      <c r="AB19" s="13" t="s">
        <v>98</v>
      </c>
      <c r="AC19" s="14" t="s">
        <v>245</v>
      </c>
      <c r="AD19" s="15" t="s">
        <v>99</v>
      </c>
    </row>
    <row r="20" spans="1:30" x14ac:dyDescent="0.25">
      <c r="A20" s="5">
        <v>19</v>
      </c>
      <c r="B20" s="6" t="s">
        <v>257</v>
      </c>
      <c r="C20" s="7" t="s">
        <v>257</v>
      </c>
      <c r="D20" s="7" t="s">
        <v>258</v>
      </c>
      <c r="E20" s="7" t="s">
        <v>32</v>
      </c>
      <c r="F20" s="7" t="s">
        <v>87</v>
      </c>
      <c r="G20" s="8">
        <v>218.28</v>
      </c>
      <c r="H20" s="8">
        <v>0</v>
      </c>
      <c r="I20" s="8">
        <v>0</v>
      </c>
      <c r="J20" s="8">
        <v>0</v>
      </c>
      <c r="K20" s="8">
        <v>0</v>
      </c>
      <c r="L20" s="9">
        <v>218.28</v>
      </c>
      <c r="M20" s="8">
        <v>0</v>
      </c>
      <c r="N20" s="8">
        <v>0</v>
      </c>
      <c r="O20" s="17">
        <v>0</v>
      </c>
      <c r="P20" s="10">
        <v>0</v>
      </c>
      <c r="Q20" s="11" t="s">
        <v>136</v>
      </c>
      <c r="R20" s="11" t="s">
        <v>259</v>
      </c>
      <c r="S20" s="11" t="s">
        <v>250</v>
      </c>
      <c r="T20" s="11" t="s">
        <v>136</v>
      </c>
      <c r="U20" s="11" t="s">
        <v>260</v>
      </c>
      <c r="V20" s="11" t="s">
        <v>261</v>
      </c>
      <c r="W20" s="11" t="s">
        <v>262</v>
      </c>
      <c r="X20" s="11">
        <v>0</v>
      </c>
      <c r="Y20" s="11" t="s">
        <v>263</v>
      </c>
      <c r="Z20" s="12">
        <v>45926</v>
      </c>
      <c r="AA20" s="13" t="s">
        <v>98</v>
      </c>
      <c r="AB20" s="13" t="s">
        <v>98</v>
      </c>
      <c r="AC20" s="14" t="s">
        <v>257</v>
      </c>
      <c r="AD20" s="15" t="s">
        <v>264</v>
      </c>
    </row>
    <row r="21" spans="1:30" x14ac:dyDescent="0.25">
      <c r="A21" s="5">
        <v>20</v>
      </c>
      <c r="B21" s="6" t="s">
        <v>265</v>
      </c>
      <c r="C21" s="7" t="s">
        <v>266</v>
      </c>
      <c r="D21" s="7" t="s">
        <v>267</v>
      </c>
      <c r="E21" s="7" t="s">
        <v>32</v>
      </c>
      <c r="F21" s="7" t="s">
        <v>33</v>
      </c>
      <c r="G21" s="8">
        <v>509.88</v>
      </c>
      <c r="H21" s="8">
        <v>0</v>
      </c>
      <c r="I21" s="8">
        <v>5</v>
      </c>
      <c r="J21" s="8">
        <v>5</v>
      </c>
      <c r="K21" s="8">
        <v>0</v>
      </c>
      <c r="L21" s="9">
        <v>509.88</v>
      </c>
      <c r="M21" s="8">
        <v>0</v>
      </c>
      <c r="N21" s="8">
        <v>0</v>
      </c>
      <c r="O21" s="8" t="s">
        <v>268</v>
      </c>
      <c r="P21" s="10">
        <v>0</v>
      </c>
      <c r="Q21" s="11" t="s">
        <v>35</v>
      </c>
      <c r="R21" s="11" t="s">
        <v>269</v>
      </c>
      <c r="S21" s="11" t="s">
        <v>186</v>
      </c>
      <c r="T21" s="11" t="s">
        <v>270</v>
      </c>
      <c r="U21" s="11" t="s">
        <v>271</v>
      </c>
      <c r="V21" s="11" t="s">
        <v>272</v>
      </c>
      <c r="W21" s="11" t="s">
        <v>273</v>
      </c>
      <c r="X21" s="11" t="s">
        <v>274</v>
      </c>
      <c r="Y21" s="11">
        <v>0</v>
      </c>
      <c r="Z21" s="12">
        <v>45966</v>
      </c>
      <c r="AA21" s="13">
        <v>0.34652488000000004</v>
      </c>
      <c r="AB21" s="13" t="s">
        <v>98</v>
      </c>
      <c r="AC21" s="14" t="s">
        <v>266</v>
      </c>
      <c r="AD21" s="15" t="s">
        <v>275</v>
      </c>
    </row>
    <row r="22" spans="1:30" x14ac:dyDescent="0.25">
      <c r="A22" s="18">
        <v>21</v>
      </c>
      <c r="B22" s="19" t="s">
        <v>276</v>
      </c>
      <c r="C22" s="20" t="s">
        <v>277</v>
      </c>
      <c r="D22" s="20" t="s">
        <v>278</v>
      </c>
      <c r="E22" s="20" t="s">
        <v>73</v>
      </c>
      <c r="F22" s="20"/>
      <c r="G22" s="21">
        <v>0</v>
      </c>
      <c r="H22" s="21">
        <v>0</v>
      </c>
      <c r="I22" s="21">
        <v>0</v>
      </c>
      <c r="J22" s="21">
        <v>0</v>
      </c>
      <c r="K22" s="21">
        <v>0</v>
      </c>
      <c r="L22" s="22">
        <v>0</v>
      </c>
      <c r="M22" s="21">
        <v>0</v>
      </c>
      <c r="N22" s="21">
        <v>0</v>
      </c>
      <c r="O22" s="21" t="s">
        <v>279</v>
      </c>
      <c r="P22" s="23">
        <v>0</v>
      </c>
      <c r="Q22" s="24">
        <v>0</v>
      </c>
      <c r="R22" s="24" t="s">
        <v>280</v>
      </c>
      <c r="S22" s="24" t="s">
        <v>136</v>
      </c>
      <c r="T22" s="24" t="s">
        <v>281</v>
      </c>
      <c r="U22" s="24" t="s">
        <v>282</v>
      </c>
      <c r="V22" s="24" t="s">
        <v>283</v>
      </c>
      <c r="W22" s="24" t="s">
        <v>284</v>
      </c>
      <c r="X22" s="24" t="s">
        <v>136</v>
      </c>
      <c r="Y22" s="24" t="s">
        <v>285</v>
      </c>
      <c r="Z22" s="25">
        <v>45925</v>
      </c>
      <c r="AA22" s="26" t="s">
        <v>98</v>
      </c>
      <c r="AB22" s="26" t="s">
        <v>98</v>
      </c>
      <c r="AC22" s="27" t="s">
        <v>277</v>
      </c>
      <c r="AD22" s="28" t="s">
        <v>286</v>
      </c>
    </row>
  </sheetData>
  <conditionalFormatting sqref="T2:Y22 P2:R22">
    <cfRule type="dataBar" priority="1">
      <dataBar>
        <cfvo type="num" val="0"/>
        <cfvo type="num" val="1"/>
        <color rgb="FF008AEF"/>
      </dataBar>
      <extLst>
        <ext xmlns:x14="http://schemas.microsoft.com/office/spreadsheetml/2009/9/main" uri="{B025F937-C7B1-47D3-B67F-A62EFF666E3E}">
          <x14:id>{5052C84B-844B-477C-B5FE-06AEE45377D6}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052C84B-844B-477C-B5FE-06AEE45377D6}">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T2:Y22 P2:R22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2025-11-06T06:28:54Z</dcterms:created>
  <dcterms:modified xsi:type="dcterms:W3CDTF">2025-11-06T06:28:56Z</dcterms:modified>
</cp:coreProperties>
</file>